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ametros" sheetId="2" state="visible" r:id="rId4"/>
    <sheet name="Pessoas" sheetId="3" state="visible" r:id="rId5"/>
    <sheet name="Atividades" sheetId="4" state="visible" r:id="rId6"/>
    <sheet name="Horas" sheetId="5" state="visible" r:id="rId7"/>
    <sheet name="Custos_Diretos" sheetId="6" state="visible" r:id="rId8"/>
    <sheet name="Receita_Comissoes" sheetId="7" state="visible" r:id="rId9"/>
    <sheet name="Comissoes_Recebidas" sheetId="8" state="visible" r:id="rId10"/>
    <sheet name="RO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Valor informado pelo Guilherme em 23/10/2026 como base do custo-hora.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Use os minutos do catálogo (aba Atividades) e ajuste quando o tempo real for diferente.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Wise: primeira mensalidade. Tríade: primeira parcela. Swallow: valor do projeto.</t>
        </r>
      </text>
    </comment>
  </commentList>
</comments>
</file>

<file path=xl/sharedStrings.xml><?xml version="1.0" encoding="utf-8"?>
<sst xmlns="http://schemas.openxmlformats.org/spreadsheetml/2006/main" count="256" uniqueCount="179">
  <si>
    <t xml:space="preserve">Modelo de custos e ROI do canal Wise Partners</t>
  </si>
  <si>
    <t xml:space="preserve">Referência de cálculo do portal (spec 002, Apêndice M). O portal deve chegar aos mesmos números para as mesmas entradas (SC-101).</t>
  </si>
  <si>
    <t xml:space="preserve">Como usar</t>
  </si>
  <si>
    <t xml:space="preserve">1. Células em azul com fundo amarelo são entradas: edite só elas. Células em preto são fórmulas.</t>
  </si>
  <si>
    <t xml:space="preserve">2. Parametros: remuneração, horas de referência, fator de encargos, horizonte de receita, prazo padrão, margem e o período do cálculo.</t>
  </si>
  <si>
    <t xml:space="preserve">3. Pessoas: uma linha por pessoa que registra atividades. Sem remuneração, o custo-hora fica zero e o ROI fica subestimado.</t>
  </si>
  <si>
    <t xml:space="preserve">4. Atividades: catálogo de esforço (Apêndice N), com minutos estimados e custo estimado pelo custo-hora do Guilherme.</t>
  </si>
  <si>
    <t xml:space="preserve">5. Horas, Custos_Diretos, Receita_Comissoes e Comissoes_Recebidas: lançamentos. As linhas cinza marcadas EXEMPLO reproduzem o cenário da História 1 do spec; apague-as antes de usar.</t>
  </si>
  <si>
    <t xml:space="preserve">6. ROI: resultado do período e por parceiro.</t>
  </si>
  <si>
    <t xml:space="preserve">Premissas</t>
  </si>
  <si>
    <t xml:space="preserve">Remuneração de referência do Guilherme Faccin: R$ 4.500,00 por mês, informada por ele para este cálculo. 220 horas mensais (44 horas semanais). Fator de encargos 1,0 a pedido; mude para incluir encargos e benefícios.</t>
  </si>
  <si>
    <t xml:space="preserve">Receita atribuída: Wise Makers = mensalidade x mínimo entre prazo do contrato e horizonte; Tríade e Swallow = valor total da venda. Somam-se as comissões recebidas de parceiros.</t>
  </si>
  <si>
    <t xml:space="preserve">Comissões pagas (Apêndice A da v1): Wise Makers 40% da primeira mensalidade ao parceiro e 10% ao responsável; Tríade 40% e 10% da primeira parcela; Swallow 6% e 2% do projeto.</t>
  </si>
  <si>
    <t xml:space="preserve">ROI = (receita atribuída x margem de contribuição menos custo do canal) dividido pelo custo do canal. Margem inicial de 100%: o ROI parte da receita.</t>
  </si>
  <si>
    <t xml:space="preserve">Fase do programa: experimentação. Pelo livro, investimento maior que retorno é esperado nesta fase.</t>
  </si>
  <si>
    <t xml:space="preserve">Parâmetro</t>
  </si>
  <si>
    <t xml:space="preserve">Valor</t>
  </si>
  <si>
    <t xml:space="preserve">Observação</t>
  </si>
  <si>
    <t xml:space="preserve">Horas mensais de referência</t>
  </si>
  <si>
    <t xml:space="preserve">44 horas semanais</t>
  </si>
  <si>
    <t xml:space="preserve">Fator de encargos</t>
  </si>
  <si>
    <t xml:space="preserve">1,0 = só a remuneração informada</t>
  </si>
  <si>
    <t xml:space="preserve">Horizonte de receita (meses)</t>
  </si>
  <si>
    <t xml:space="preserve">Receita da Wise conta até este número de meses</t>
  </si>
  <si>
    <t xml:space="preserve">Prazo padrão do contrato (meses)</t>
  </si>
  <si>
    <t xml:space="preserve">Usado quando a indicação não informa o prazo</t>
  </si>
  <si>
    <t xml:space="preserve">Margem de contribuição</t>
  </si>
  <si>
    <t xml:space="preserve">100% = ROI sobre a receita</t>
  </si>
  <si>
    <t xml:space="preserve">Início do período</t>
  </si>
  <si>
    <t xml:space="preserve">Período do cálculo do ROI</t>
  </si>
  <si>
    <t xml:space="preserve">Fim do período</t>
  </si>
  <si>
    <t xml:space="preserve">Regras de comissão por empresa</t>
  </si>
  <si>
    <t xml:space="preserve">Empresa</t>
  </si>
  <si>
    <t xml:space="preserve">% parceiro</t>
  </si>
  <si>
    <t xml:space="preserve">% responsável</t>
  </si>
  <si>
    <t xml:space="preserve">Wise Makers</t>
  </si>
  <si>
    <t xml:space="preserve">Tríade</t>
  </si>
  <si>
    <t xml:space="preserve">Swallow</t>
  </si>
  <si>
    <t xml:space="preserve">Fonte: Apêndice A do spec 001 (regras de comissão vigentes).</t>
  </si>
  <si>
    <t xml:space="preserve">Pessoa</t>
  </si>
  <si>
    <t xml:space="preserve">Remuneração mensal (R$)</t>
  </si>
  <si>
    <t xml:space="preserve">Horas mensais</t>
  </si>
  <si>
    <t xml:space="preserve">Custo-hora (R$)</t>
  </si>
  <si>
    <t xml:space="preserve">Custo por minuto (R$)</t>
  </si>
  <si>
    <t xml:space="preserve">Guilherme Faccin</t>
  </si>
  <si>
    <t xml:space="preserve">Igor Makoto</t>
  </si>
  <si>
    <t xml:space="preserve">Remuneração do Igor a informar. Sem ela, as horas dele entram com custo zero.</t>
  </si>
  <si>
    <t xml:space="preserve">Etapa</t>
  </si>
  <si>
    <t xml:space="preserve">Atividade</t>
  </si>
  <si>
    <t xml:space="preserve">Minutos estimados</t>
  </si>
  <si>
    <t xml:space="preserve">Custo estimado pelo custo-hora do Guilherme (R$)</t>
  </si>
  <si>
    <t xml:space="preserve">Captação</t>
  </si>
  <si>
    <t xml:space="preserve">Pesquisa e preparação da abordagem</t>
  </si>
  <si>
    <t xml:space="preserve">Mensagem ou follow-up</t>
  </si>
  <si>
    <t xml:space="preserve">Ligação</t>
  </si>
  <si>
    <t xml:space="preserve">Reunião de apresentação (45 min mais preparação)</t>
  </si>
  <si>
    <t xml:space="preserve">Preparação de dossiê ou apresentação personalizada</t>
  </si>
  <si>
    <t xml:space="preserve">Preenchimento do scorecard</t>
  </si>
  <si>
    <t xml:space="preserve">Negociação e ajuste de proposta</t>
  </si>
  <si>
    <t xml:space="preserve">Documento enviado (minuta, resumo, proposta)</t>
  </si>
  <si>
    <t xml:space="preserve">Geração e revisão da minuta de contrato</t>
  </si>
  <si>
    <t xml:space="preserve">Aprovação de assinatura com o Diretor</t>
  </si>
  <si>
    <t xml:space="preserve">Contato de nutrição</t>
  </si>
  <si>
    <t xml:space="preserve">Onboarding</t>
  </si>
  <si>
    <t xml:space="preserve">Tarefas de implantação do pacote</t>
  </si>
  <si>
    <t xml:space="preserve">Encontro de alinhamento</t>
  </si>
  <si>
    <t xml:space="preserve">Encontro de vendas</t>
  </si>
  <si>
    <t xml:space="preserve">Encontro de produto</t>
  </si>
  <si>
    <t xml:space="preserve">Encontro de pós-venda</t>
  </si>
  <si>
    <t xml:space="preserve">Emissão de certificado e selos</t>
  </si>
  <si>
    <t xml:space="preserve">Relacionamento</t>
  </si>
  <si>
    <t xml:space="preserve">Check-in mensal</t>
  </si>
  <si>
    <t xml:space="preserve">Check-in trimestral</t>
  </si>
  <si>
    <t xml:space="preserve">Revisão de nível do parceiro</t>
  </si>
  <si>
    <t xml:space="preserve">Avaliação de maturidade</t>
  </si>
  <si>
    <t xml:space="preserve">Tentativa de retomada</t>
  </si>
  <si>
    <t xml:space="preserve">Desligamento (aviso e encerramento)</t>
  </si>
  <si>
    <t xml:space="preserve">Resposta a dúvida do parceiro</t>
  </si>
  <si>
    <t xml:space="preserve">Validação de proposta de ficha ou de comprovação</t>
  </si>
  <si>
    <t xml:space="preserve">Ida ao mercado conjunta</t>
  </si>
  <si>
    <t xml:space="preserve">Tratamento de indicação (validação e repasse)</t>
  </si>
  <si>
    <t xml:space="preserve">Atualização de indicação</t>
  </si>
  <si>
    <t xml:space="preserve">Checagem do cliente aos 6 ou 12 meses</t>
  </si>
  <si>
    <t xml:space="preserve">Ação conjunta de marketing (arte, post, envio)</t>
  </si>
  <si>
    <t xml:space="preserve">Evento ou palestra</t>
  </si>
  <si>
    <t xml:space="preserve">Encontro do Base Ativa (com preparação)</t>
  </si>
  <si>
    <t xml:space="preserve">Análise de cruzamento de carteiras</t>
  </si>
  <si>
    <t xml:space="preserve">Gestão</t>
  </si>
  <si>
    <t xml:space="preserve">Revisão semanal com o Diretor</t>
  </si>
  <si>
    <t xml:space="preserve">Preparação da pauta e do relatório</t>
  </si>
  <si>
    <t xml:space="preserve">Comunicado à base de parceiros</t>
  </si>
  <si>
    <t xml:space="preserve">Produção ou atualização de conteúdo de trilha</t>
  </si>
  <si>
    <t xml:space="preserve">Análise da pesquisa de satisfação</t>
  </si>
  <si>
    <t xml:space="preserve">Premiação anual</t>
  </si>
  <si>
    <t xml:space="preserve">Gestão geral do programa (sem parceiro)</t>
  </si>
  <si>
    <t xml:space="preserve">Data</t>
  </si>
  <si>
    <t xml:space="preserve">Parceiro</t>
  </si>
  <si>
    <t xml:space="preserve">Minutos</t>
  </si>
  <si>
    <t xml:space="preserve">Custo (R$)</t>
  </si>
  <si>
    <t xml:space="preserve">Marcação</t>
  </si>
  <si>
    <t xml:space="preserve">Parceiro Exemplo</t>
  </si>
  <si>
    <t xml:space="preserve">EXEMPLO</t>
  </si>
  <si>
    <t xml:space="preserve">Geral do programa</t>
  </si>
  <si>
    <t xml:space="preserve">Categoria</t>
  </si>
  <si>
    <t xml:space="preserve">Descrição</t>
  </si>
  <si>
    <t xml:space="preserve">Valor (R$)</t>
  </si>
  <si>
    <t xml:space="preserve">Evento</t>
  </si>
  <si>
    <t xml:space="preserve">Café da manhã com a carteira do parceiro</t>
  </si>
  <si>
    <t xml:space="preserve">Data de fechamento</t>
  </si>
  <si>
    <t xml:space="preserve">Empresa do grupo</t>
  </si>
  <si>
    <t xml:space="preserve">Cliente</t>
  </si>
  <si>
    <t xml:space="preserve">No ICP (Sim/Não)</t>
  </si>
  <si>
    <t xml:space="preserve">Mensalidade (R$, Wise)</t>
  </si>
  <si>
    <t xml:space="preserve">Prazo do contrato (meses)</t>
  </si>
  <si>
    <t xml:space="preserve">Valor total da venda (R$, Tríade ou Swallow)</t>
  </si>
  <si>
    <t xml:space="preserve">Base da comissão (R$)</t>
  </si>
  <si>
    <t xml:space="preserve">Receita atribuída (R$)</t>
  </si>
  <si>
    <t xml:space="preserve">Comissão ao parceiro (R$)</t>
  </si>
  <si>
    <t xml:space="preserve">Comissão ao responsável (R$)</t>
  </si>
  <si>
    <t xml:space="preserve">Mensalidade recorrente (R$)</t>
  </si>
  <si>
    <t xml:space="preserve">Indústria Exemplo Ltda</t>
  </si>
  <si>
    <t xml:space="preserve">Sim</t>
  </si>
  <si>
    <t xml:space="preserve">Data do pagamento</t>
  </si>
  <si>
    <t xml:space="preserve">Cliente indicado pelo grupo</t>
  </si>
  <si>
    <t xml:space="preserve">Valor recebido (R$)</t>
  </si>
  <si>
    <t xml:space="preserve">ROI do canal no período</t>
  </si>
  <si>
    <t xml:space="preserve">Período</t>
  </si>
  <si>
    <t xml:space="preserve">Indicador</t>
  </si>
  <si>
    <t xml:space="preserve">Como é calculado</t>
  </si>
  <si>
    <t xml:space="preserve">Valores do período definido em Parametros</t>
  </si>
  <si>
    <t xml:space="preserve">Horas registradas</t>
  </si>
  <si>
    <t xml:space="preserve">Total de horas de todas as pessoas</t>
  </si>
  <si>
    <t xml:space="preserve">Custo das horas</t>
  </si>
  <si>
    <t xml:space="preserve">Horas x custo-hora</t>
  </si>
  <si>
    <t xml:space="preserve">Comissões ao parceiro</t>
  </si>
  <si>
    <t xml:space="preserve">Comissões ao responsável</t>
  </si>
  <si>
    <t xml:space="preserve">Custos diretos</t>
  </si>
  <si>
    <t xml:space="preserve">Custo total do canal</t>
  </si>
  <si>
    <t xml:space="preserve">Receita atribuída de clientes</t>
  </si>
  <si>
    <t xml:space="preserve">Comissões recebidas de parceiros</t>
  </si>
  <si>
    <t xml:space="preserve">Receita atribuída total</t>
  </si>
  <si>
    <t xml:space="preserve">Receita x margem de contribuição</t>
  </si>
  <si>
    <t xml:space="preserve">ROI</t>
  </si>
  <si>
    <t xml:space="preserve">(receita x margem menos custo) dividido pelo custo</t>
  </si>
  <si>
    <t xml:space="preserve">Clientes fechados no ICP</t>
  </si>
  <si>
    <t xml:space="preserve">Número principal do programa</t>
  </si>
  <si>
    <t xml:space="preserve">Custo por cliente no ICP</t>
  </si>
  <si>
    <t xml:space="preserve">Mensalidade recorrente dos clientes do canal</t>
  </si>
  <si>
    <t xml:space="preserve">Tempo de retorno (meses)</t>
  </si>
  <si>
    <t xml:space="preserve">Custo dividido pela mensalidade recorrente x margem</t>
  </si>
  <si>
    <t xml:space="preserve">ROI por parceiro no período (custo geral do programa fica à parte, sem rateio)</t>
  </si>
  <si>
    <t xml:space="preserve">Horas</t>
  </si>
  <si>
    <t xml:space="preserve">Custo das horas (R$)</t>
  </si>
  <si>
    <t xml:space="preserve">Comissões pagas (R$)</t>
  </si>
  <si>
    <t xml:space="preserve">Custos diretos (R$)</t>
  </si>
  <si>
    <t xml:space="preserve">Custo total (R$)</t>
  </si>
  <si>
    <t xml:space="preserve">Clientes no ICP</t>
  </si>
  <si>
    <t xml:space="preserve">Consistem</t>
  </si>
  <si>
    <t xml:space="preserve">Brasão Sistemas</t>
  </si>
  <si>
    <t xml:space="preserve">iPro CRM</t>
  </si>
  <si>
    <t xml:space="preserve">Intalenti</t>
  </si>
  <si>
    <t xml:space="preserve">GRV Software</t>
  </si>
  <si>
    <t xml:space="preserve">OnSafety</t>
  </si>
  <si>
    <t xml:space="preserve">Have Consultoria</t>
  </si>
  <si>
    <t xml:space="preserve">Prosyst</t>
  </si>
  <si>
    <t xml:space="preserve">P5 Solutions</t>
  </si>
  <si>
    <t xml:space="preserve">Paresi</t>
  </si>
  <si>
    <t xml:space="preserve">Datasoul</t>
  </si>
  <si>
    <t xml:space="preserve">Odoo</t>
  </si>
  <si>
    <t xml:space="preserve">ANYBOT</t>
  </si>
  <si>
    <t xml:space="preserve">Setto Tecnologia</t>
  </si>
  <si>
    <t xml:space="preserve">Elias</t>
  </si>
  <si>
    <t xml:space="preserve">Movel Tech</t>
  </si>
  <si>
    <t xml:space="preserve">Acelerator</t>
  </si>
  <si>
    <t xml:space="preserve">Missão Consultoria</t>
  </si>
  <si>
    <t xml:space="preserve">SMICQP Ponta Grossa</t>
  </si>
  <si>
    <t xml:space="preserve">Habitat Senai/Fiep</t>
  </si>
  <si>
    <t xml:space="preserve">Total</t>
  </si>
  <si>
    <t xml:space="preserve">O total confere com o quadro do período quando todos os lançamentos usam um parceiro desta lista ou Geral do programa.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</si>
</sst>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.0%;\(0.0%\);\-"/>
    <numFmt numFmtId="168" formatCode="dd/mm/yyyy"/>
    <numFmt numFmtId="169" formatCode="&quot;R$ &quot;#,##0.00;&quot;(R$ &quot;#,##0.00\);\-"/>
    <numFmt numFmtId="170" formatCode="0.0000"/>
    <numFmt numFmtId="171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1F17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F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2" t="s">
        <v>6</v>
      </c>
    </row>
    <row r="9" customFormat="false" ht="26.8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26.85" hidden="false" customHeight="false" outlineLevel="0" collapsed="false">
      <c r="A13" s="2" t="s">
        <v>10</v>
      </c>
    </row>
    <row r="14" customFormat="false" ht="26.85" hidden="false" customHeight="false" outlineLevel="0" collapsed="false">
      <c r="A14" s="2" t="s">
        <v>11</v>
      </c>
    </row>
    <row r="15" customFormat="false" ht="26.85" hidden="false" customHeight="false" outlineLevel="0" collapsed="false">
      <c r="A15" s="2" t="s">
        <v>12</v>
      </c>
    </row>
    <row r="16" customFormat="false" ht="26.8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4" t="s">
        <v>15</v>
      </c>
      <c r="B1" s="4" t="s">
        <v>16</v>
      </c>
      <c r="C1" s="4" t="s">
        <v>17</v>
      </c>
    </row>
    <row r="2" customFormat="false" ht="15" hidden="false" customHeight="false" outlineLevel="0" collapsed="false">
      <c r="A2" s="5" t="s">
        <v>18</v>
      </c>
      <c r="B2" s="6" t="n">
        <v>220</v>
      </c>
      <c r="C2" s="5" t="s">
        <v>19</v>
      </c>
    </row>
    <row r="3" customFormat="false" ht="15" hidden="false" customHeight="false" outlineLevel="0" collapsed="false">
      <c r="A3" s="5" t="s">
        <v>20</v>
      </c>
      <c r="B3" s="7" t="n">
        <v>1</v>
      </c>
      <c r="C3" s="5" t="s">
        <v>21</v>
      </c>
    </row>
    <row r="4" customFormat="false" ht="15" hidden="false" customHeight="false" outlineLevel="0" collapsed="false">
      <c r="A4" s="5" t="s">
        <v>22</v>
      </c>
      <c r="B4" s="6" t="n">
        <v>12</v>
      </c>
      <c r="C4" s="5" t="s">
        <v>23</v>
      </c>
    </row>
    <row r="5" customFormat="false" ht="15" hidden="false" customHeight="false" outlineLevel="0" collapsed="false">
      <c r="A5" s="5" t="s">
        <v>24</v>
      </c>
      <c r="B5" s="6" t="n">
        <v>12</v>
      </c>
      <c r="C5" s="5" t="s">
        <v>25</v>
      </c>
    </row>
    <row r="6" customFormat="false" ht="15" hidden="false" customHeight="false" outlineLevel="0" collapsed="false">
      <c r="A6" s="5" t="s">
        <v>26</v>
      </c>
      <c r="B6" s="8" t="n">
        <v>1</v>
      </c>
      <c r="C6" s="5" t="s">
        <v>27</v>
      </c>
    </row>
    <row r="7" customFormat="false" ht="15" hidden="false" customHeight="false" outlineLevel="0" collapsed="false">
      <c r="A7" s="5" t="s">
        <v>28</v>
      </c>
      <c r="B7" s="9" t="n">
        <v>46296</v>
      </c>
      <c r="C7" s="5" t="s">
        <v>29</v>
      </c>
    </row>
    <row r="8" customFormat="false" ht="15" hidden="false" customHeight="false" outlineLevel="0" collapsed="false">
      <c r="A8" s="5" t="s">
        <v>30</v>
      </c>
      <c r="B8" s="9" t="n">
        <v>46752</v>
      </c>
      <c r="C8" s="5"/>
    </row>
    <row r="11" customFormat="false" ht="15" hidden="false" customHeight="false" outlineLevel="0" collapsed="false">
      <c r="A11" s="10" t="s">
        <v>31</v>
      </c>
    </row>
    <row r="12" customFormat="false" ht="15" hidden="false" customHeight="false" outlineLevel="0" collapsed="false">
      <c r="A12" s="11" t="s">
        <v>32</v>
      </c>
      <c r="B12" s="11" t="s">
        <v>33</v>
      </c>
      <c r="C12" s="11" t="s">
        <v>34</v>
      </c>
    </row>
    <row r="13" customFormat="false" ht="15" hidden="false" customHeight="false" outlineLevel="0" collapsed="false">
      <c r="A13" s="5" t="s">
        <v>35</v>
      </c>
      <c r="B13" s="12" t="n">
        <v>0.4</v>
      </c>
      <c r="C13" s="12" t="n">
        <v>0.1</v>
      </c>
    </row>
    <row r="14" customFormat="false" ht="15" hidden="false" customHeight="false" outlineLevel="0" collapsed="false">
      <c r="A14" s="5" t="s">
        <v>36</v>
      </c>
      <c r="B14" s="12" t="n">
        <v>0.4</v>
      </c>
      <c r="C14" s="12" t="n">
        <v>0.1</v>
      </c>
    </row>
    <row r="15" customFormat="false" ht="15" hidden="false" customHeight="false" outlineLevel="0" collapsed="false">
      <c r="A15" s="5" t="s">
        <v>37</v>
      </c>
      <c r="B15" s="12" t="n">
        <v>0.06</v>
      </c>
      <c r="C15" s="12" t="n">
        <v>0.02</v>
      </c>
    </row>
    <row r="17" customFormat="false" ht="15" hidden="false" customHeight="false" outlineLevel="0" collapsed="false">
      <c r="A17" s="1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</cols>
  <sheetData>
    <row r="1" customFormat="false" ht="26.85" hidden="false" customHeight="false" outlineLevel="0" collapsed="false">
      <c r="A1" s="4" t="s">
        <v>39</v>
      </c>
      <c r="B1" s="4" t="s">
        <v>40</v>
      </c>
      <c r="C1" s="4" t="s">
        <v>41</v>
      </c>
      <c r="D1" s="4" t="s">
        <v>20</v>
      </c>
      <c r="E1" s="4" t="s">
        <v>42</v>
      </c>
      <c r="F1" s="4" t="s">
        <v>43</v>
      </c>
    </row>
    <row r="2" customFormat="false" ht="15" hidden="false" customHeight="false" outlineLevel="0" collapsed="false">
      <c r="A2" s="14" t="s">
        <v>44</v>
      </c>
      <c r="B2" s="15" t="n">
        <v>4500</v>
      </c>
      <c r="C2" s="16" t="n">
        <f aca="false">Parametros!$B$2</f>
        <v>220</v>
      </c>
      <c r="D2" s="17" t="n">
        <f aca="false">Parametros!$B$3</f>
        <v>1</v>
      </c>
      <c r="E2" s="18" t="n">
        <f aca="false">IF(B2="",0,B2/C2*D2)</f>
        <v>20.4545454545455</v>
      </c>
      <c r="F2" s="19" t="n">
        <f aca="false">E2/60</f>
        <v>0.340909090909091</v>
      </c>
    </row>
    <row r="3" customFormat="false" ht="15" hidden="false" customHeight="false" outlineLevel="0" collapsed="false">
      <c r="A3" s="14" t="s">
        <v>45</v>
      </c>
      <c r="B3" s="15"/>
      <c r="C3" s="16" t="n">
        <f aca="false">Parametros!$B$2</f>
        <v>220</v>
      </c>
      <c r="D3" s="17" t="n">
        <f aca="false">Parametros!$B$3</f>
        <v>1</v>
      </c>
      <c r="E3" s="18" t="n">
        <f aca="false">IF(B3="",0,B3/C3*D3)</f>
        <v>0</v>
      </c>
      <c r="F3" s="19" t="n">
        <f aca="false">E3/60</f>
        <v>0</v>
      </c>
    </row>
    <row r="4" customFormat="false" ht="15" hidden="false" customHeight="false" outlineLevel="0" collapsed="false">
      <c r="A4" s="1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26.85" hidden="false" customHeight="false" outlineLevel="0" collapsed="false">
      <c r="A1" s="4" t="s">
        <v>47</v>
      </c>
      <c r="B1" s="4" t="s">
        <v>48</v>
      </c>
      <c r="C1" s="4" t="s">
        <v>49</v>
      </c>
      <c r="D1" s="4" t="s">
        <v>50</v>
      </c>
    </row>
    <row r="2" customFormat="false" ht="15" hidden="false" customHeight="false" outlineLevel="0" collapsed="false">
      <c r="A2" s="5" t="s">
        <v>51</v>
      </c>
      <c r="B2" s="5" t="s">
        <v>52</v>
      </c>
      <c r="C2" s="20" t="n">
        <v>20</v>
      </c>
      <c r="D2" s="18" t="n">
        <f aca="false">C2*Pessoas!$F$2</f>
        <v>6.81818181818182</v>
      </c>
    </row>
    <row r="3" customFormat="false" ht="15" hidden="false" customHeight="false" outlineLevel="0" collapsed="false">
      <c r="A3" s="5" t="s">
        <v>51</v>
      </c>
      <c r="B3" s="5" t="s">
        <v>53</v>
      </c>
      <c r="C3" s="20" t="n">
        <v>5</v>
      </c>
      <c r="D3" s="18" t="n">
        <f aca="false">C3*Pessoas!$F$2</f>
        <v>1.70454545454545</v>
      </c>
    </row>
    <row r="4" customFormat="false" ht="15" hidden="false" customHeight="false" outlineLevel="0" collapsed="false">
      <c r="A4" s="5" t="s">
        <v>51</v>
      </c>
      <c r="B4" s="5" t="s">
        <v>54</v>
      </c>
      <c r="C4" s="20" t="n">
        <v>15</v>
      </c>
      <c r="D4" s="18" t="n">
        <f aca="false">C4*Pessoas!$F$2</f>
        <v>5.11363636363636</v>
      </c>
    </row>
    <row r="5" customFormat="false" ht="15" hidden="false" customHeight="false" outlineLevel="0" collapsed="false">
      <c r="A5" s="5" t="s">
        <v>51</v>
      </c>
      <c r="B5" s="5" t="s">
        <v>55</v>
      </c>
      <c r="C5" s="20" t="n">
        <v>75</v>
      </c>
      <c r="D5" s="18" t="n">
        <f aca="false">C5*Pessoas!$F$2</f>
        <v>25.5681818181818</v>
      </c>
    </row>
    <row r="6" customFormat="false" ht="15" hidden="false" customHeight="false" outlineLevel="0" collapsed="false">
      <c r="A6" s="5" t="s">
        <v>51</v>
      </c>
      <c r="B6" s="5" t="s">
        <v>56</v>
      </c>
      <c r="C6" s="20" t="n">
        <v>60</v>
      </c>
      <c r="D6" s="18" t="n">
        <f aca="false">C6*Pessoas!$F$2</f>
        <v>20.4545454545455</v>
      </c>
    </row>
    <row r="7" customFormat="false" ht="15" hidden="false" customHeight="false" outlineLevel="0" collapsed="false">
      <c r="A7" s="5" t="s">
        <v>51</v>
      </c>
      <c r="B7" s="5" t="s">
        <v>57</v>
      </c>
      <c r="C7" s="20" t="n">
        <v>15</v>
      </c>
      <c r="D7" s="18" t="n">
        <f aca="false">C7*Pessoas!$F$2</f>
        <v>5.11363636363636</v>
      </c>
    </row>
    <row r="8" customFormat="false" ht="15" hidden="false" customHeight="false" outlineLevel="0" collapsed="false">
      <c r="A8" s="5" t="s">
        <v>51</v>
      </c>
      <c r="B8" s="5" t="s">
        <v>58</v>
      </c>
      <c r="C8" s="20" t="n">
        <v>45</v>
      </c>
      <c r="D8" s="18" t="n">
        <f aca="false">C8*Pessoas!$F$2</f>
        <v>15.3409090909091</v>
      </c>
    </row>
    <row r="9" customFormat="false" ht="15" hidden="false" customHeight="false" outlineLevel="0" collapsed="false">
      <c r="A9" s="5" t="s">
        <v>51</v>
      </c>
      <c r="B9" s="5" t="s">
        <v>59</v>
      </c>
      <c r="C9" s="20" t="n">
        <v>30</v>
      </c>
      <c r="D9" s="18" t="n">
        <f aca="false">C9*Pessoas!$F$2</f>
        <v>10.2272727272727</v>
      </c>
    </row>
    <row r="10" customFormat="false" ht="15" hidden="false" customHeight="false" outlineLevel="0" collapsed="false">
      <c r="A10" s="5" t="s">
        <v>51</v>
      </c>
      <c r="B10" s="5" t="s">
        <v>60</v>
      </c>
      <c r="C10" s="20" t="n">
        <v>30</v>
      </c>
      <c r="D10" s="18" t="n">
        <f aca="false">C10*Pessoas!$F$2</f>
        <v>10.2272727272727</v>
      </c>
    </row>
    <row r="11" customFormat="false" ht="15" hidden="false" customHeight="false" outlineLevel="0" collapsed="false">
      <c r="A11" s="5" t="s">
        <v>51</v>
      </c>
      <c r="B11" s="5" t="s">
        <v>61</v>
      </c>
      <c r="C11" s="20" t="n">
        <v>15</v>
      </c>
      <c r="D11" s="18" t="n">
        <f aca="false">C11*Pessoas!$F$2</f>
        <v>5.11363636363636</v>
      </c>
    </row>
    <row r="12" customFormat="false" ht="15" hidden="false" customHeight="false" outlineLevel="0" collapsed="false">
      <c r="A12" s="5" t="s">
        <v>51</v>
      </c>
      <c r="B12" s="5" t="s">
        <v>62</v>
      </c>
      <c r="C12" s="20" t="n">
        <v>10</v>
      </c>
      <c r="D12" s="18" t="n">
        <f aca="false">C12*Pessoas!$F$2</f>
        <v>3.40909090909091</v>
      </c>
    </row>
    <row r="13" customFormat="false" ht="15" hidden="false" customHeight="false" outlineLevel="0" collapsed="false">
      <c r="A13" s="5" t="s">
        <v>63</v>
      </c>
      <c r="B13" s="5" t="s">
        <v>64</v>
      </c>
      <c r="C13" s="20" t="n">
        <v>60</v>
      </c>
      <c r="D13" s="18" t="n">
        <f aca="false">C13*Pessoas!$F$2</f>
        <v>20.4545454545455</v>
      </c>
    </row>
    <row r="14" customFormat="false" ht="15" hidden="false" customHeight="false" outlineLevel="0" collapsed="false">
      <c r="A14" s="5" t="s">
        <v>63</v>
      </c>
      <c r="B14" s="5" t="s">
        <v>65</v>
      </c>
      <c r="C14" s="20" t="n">
        <v>60</v>
      </c>
      <c r="D14" s="18" t="n">
        <f aca="false">C14*Pessoas!$F$2</f>
        <v>20.4545454545455</v>
      </c>
    </row>
    <row r="15" customFormat="false" ht="15" hidden="false" customHeight="false" outlineLevel="0" collapsed="false">
      <c r="A15" s="5" t="s">
        <v>63</v>
      </c>
      <c r="B15" s="5" t="s">
        <v>66</v>
      </c>
      <c r="C15" s="20" t="n">
        <v>60</v>
      </c>
      <c r="D15" s="18" t="n">
        <f aca="false">C15*Pessoas!$F$2</f>
        <v>20.4545454545455</v>
      </c>
    </row>
    <row r="16" customFormat="false" ht="15" hidden="false" customHeight="false" outlineLevel="0" collapsed="false">
      <c r="A16" s="5" t="s">
        <v>63</v>
      </c>
      <c r="B16" s="5" t="s">
        <v>67</v>
      </c>
      <c r="C16" s="20" t="n">
        <v>60</v>
      </c>
      <c r="D16" s="18" t="n">
        <f aca="false">C16*Pessoas!$F$2</f>
        <v>20.4545454545455</v>
      </c>
    </row>
    <row r="17" customFormat="false" ht="15" hidden="false" customHeight="false" outlineLevel="0" collapsed="false">
      <c r="A17" s="5" t="s">
        <v>63</v>
      </c>
      <c r="B17" s="5" t="s">
        <v>68</v>
      </c>
      <c r="C17" s="20" t="n">
        <v>45</v>
      </c>
      <c r="D17" s="18" t="n">
        <f aca="false">C17*Pessoas!$F$2</f>
        <v>15.3409090909091</v>
      </c>
    </row>
    <row r="18" customFormat="false" ht="15" hidden="false" customHeight="false" outlineLevel="0" collapsed="false">
      <c r="A18" s="5" t="s">
        <v>63</v>
      </c>
      <c r="B18" s="5" t="s">
        <v>69</v>
      </c>
      <c r="C18" s="20" t="n">
        <v>15</v>
      </c>
      <c r="D18" s="18" t="n">
        <f aca="false">C18*Pessoas!$F$2</f>
        <v>5.11363636363636</v>
      </c>
    </row>
    <row r="19" customFormat="false" ht="15" hidden="false" customHeight="false" outlineLevel="0" collapsed="false">
      <c r="A19" s="5" t="s">
        <v>70</v>
      </c>
      <c r="B19" s="5" t="s">
        <v>71</v>
      </c>
      <c r="C19" s="20" t="n">
        <v>45</v>
      </c>
      <c r="D19" s="18" t="n">
        <f aca="false">C19*Pessoas!$F$2</f>
        <v>15.3409090909091</v>
      </c>
    </row>
    <row r="20" customFormat="false" ht="15" hidden="false" customHeight="false" outlineLevel="0" collapsed="false">
      <c r="A20" s="5" t="s">
        <v>70</v>
      </c>
      <c r="B20" s="5" t="s">
        <v>72</v>
      </c>
      <c r="C20" s="20" t="n">
        <v>30</v>
      </c>
      <c r="D20" s="18" t="n">
        <f aca="false">C20*Pessoas!$F$2</f>
        <v>10.2272727272727</v>
      </c>
    </row>
    <row r="21" customFormat="false" ht="15" hidden="false" customHeight="false" outlineLevel="0" collapsed="false">
      <c r="A21" s="5" t="s">
        <v>70</v>
      </c>
      <c r="B21" s="5" t="s">
        <v>73</v>
      </c>
      <c r="C21" s="20" t="n">
        <v>20</v>
      </c>
      <c r="D21" s="18" t="n">
        <f aca="false">C21*Pessoas!$F$2</f>
        <v>6.81818181818182</v>
      </c>
    </row>
    <row r="22" customFormat="false" ht="15" hidden="false" customHeight="false" outlineLevel="0" collapsed="false">
      <c r="A22" s="5" t="s">
        <v>70</v>
      </c>
      <c r="B22" s="5" t="s">
        <v>74</v>
      </c>
      <c r="C22" s="20" t="n">
        <v>20</v>
      </c>
      <c r="D22" s="18" t="n">
        <f aca="false">C22*Pessoas!$F$2</f>
        <v>6.81818181818182</v>
      </c>
    </row>
    <row r="23" customFormat="false" ht="15" hidden="false" customHeight="false" outlineLevel="0" collapsed="false">
      <c r="A23" s="5" t="s">
        <v>70</v>
      </c>
      <c r="B23" s="5" t="s">
        <v>75</v>
      </c>
      <c r="C23" s="20" t="n">
        <v>15</v>
      </c>
      <c r="D23" s="18" t="n">
        <f aca="false">C23*Pessoas!$F$2</f>
        <v>5.11363636363636</v>
      </c>
    </row>
    <row r="24" customFormat="false" ht="15" hidden="false" customHeight="false" outlineLevel="0" collapsed="false">
      <c r="A24" s="5" t="s">
        <v>70</v>
      </c>
      <c r="B24" s="5" t="s">
        <v>76</v>
      </c>
      <c r="C24" s="20" t="n">
        <v>45</v>
      </c>
      <c r="D24" s="18" t="n">
        <f aca="false">C24*Pessoas!$F$2</f>
        <v>15.3409090909091</v>
      </c>
    </row>
    <row r="25" customFormat="false" ht="15" hidden="false" customHeight="false" outlineLevel="0" collapsed="false">
      <c r="A25" s="5" t="s">
        <v>70</v>
      </c>
      <c r="B25" s="5" t="s">
        <v>77</v>
      </c>
      <c r="C25" s="20" t="n">
        <v>10</v>
      </c>
      <c r="D25" s="18" t="n">
        <f aca="false">C25*Pessoas!$F$2</f>
        <v>3.40909090909091</v>
      </c>
    </row>
    <row r="26" customFormat="false" ht="15" hidden="false" customHeight="false" outlineLevel="0" collapsed="false">
      <c r="A26" s="5" t="s">
        <v>70</v>
      </c>
      <c r="B26" s="5" t="s">
        <v>78</v>
      </c>
      <c r="C26" s="20" t="n">
        <v>5</v>
      </c>
      <c r="D26" s="18" t="n">
        <f aca="false">C26*Pessoas!$F$2</f>
        <v>1.70454545454545</v>
      </c>
    </row>
    <row r="27" customFormat="false" ht="15" hidden="false" customHeight="false" outlineLevel="0" collapsed="false">
      <c r="A27" s="5" t="s">
        <v>79</v>
      </c>
      <c r="B27" s="5" t="s">
        <v>80</v>
      </c>
      <c r="C27" s="20" t="n">
        <v>15</v>
      </c>
      <c r="D27" s="18" t="n">
        <f aca="false">C27*Pessoas!$F$2</f>
        <v>5.11363636363636</v>
      </c>
    </row>
    <row r="28" customFormat="false" ht="15" hidden="false" customHeight="false" outlineLevel="0" collapsed="false">
      <c r="A28" s="5" t="s">
        <v>79</v>
      </c>
      <c r="B28" s="5" t="s">
        <v>81</v>
      </c>
      <c r="C28" s="20" t="n">
        <v>5</v>
      </c>
      <c r="D28" s="18" t="n">
        <f aca="false">C28*Pessoas!$F$2</f>
        <v>1.70454545454545</v>
      </c>
    </row>
    <row r="29" customFormat="false" ht="15" hidden="false" customHeight="false" outlineLevel="0" collapsed="false">
      <c r="A29" s="5" t="s">
        <v>79</v>
      </c>
      <c r="B29" s="5" t="s">
        <v>82</v>
      </c>
      <c r="C29" s="20" t="n">
        <v>10</v>
      </c>
      <c r="D29" s="18" t="n">
        <f aca="false">C29*Pessoas!$F$2</f>
        <v>3.40909090909091</v>
      </c>
    </row>
    <row r="30" customFormat="false" ht="15" hidden="false" customHeight="false" outlineLevel="0" collapsed="false">
      <c r="A30" s="5" t="s">
        <v>79</v>
      </c>
      <c r="B30" s="5" t="s">
        <v>83</v>
      </c>
      <c r="C30" s="20" t="n">
        <v>60</v>
      </c>
      <c r="D30" s="18" t="n">
        <f aca="false">C30*Pessoas!$F$2</f>
        <v>20.4545454545455</v>
      </c>
    </row>
    <row r="31" customFormat="false" ht="15" hidden="false" customHeight="false" outlineLevel="0" collapsed="false">
      <c r="A31" s="5" t="s">
        <v>79</v>
      </c>
      <c r="B31" s="5" t="s">
        <v>84</v>
      </c>
      <c r="C31" s="20" t="n">
        <v>180</v>
      </c>
      <c r="D31" s="18" t="n">
        <f aca="false">C31*Pessoas!$F$2</f>
        <v>61.3636363636364</v>
      </c>
    </row>
    <row r="32" customFormat="false" ht="15" hidden="false" customHeight="false" outlineLevel="0" collapsed="false">
      <c r="A32" s="5" t="s">
        <v>79</v>
      </c>
      <c r="B32" s="5" t="s">
        <v>85</v>
      </c>
      <c r="C32" s="20" t="n">
        <v>90</v>
      </c>
      <c r="D32" s="18" t="n">
        <f aca="false">C32*Pessoas!$F$2</f>
        <v>30.6818181818182</v>
      </c>
    </row>
    <row r="33" customFormat="false" ht="15" hidden="false" customHeight="false" outlineLevel="0" collapsed="false">
      <c r="A33" s="5" t="s">
        <v>79</v>
      </c>
      <c r="B33" s="5" t="s">
        <v>86</v>
      </c>
      <c r="C33" s="20" t="n">
        <v>45</v>
      </c>
      <c r="D33" s="18" t="n">
        <f aca="false">C33*Pessoas!$F$2</f>
        <v>15.3409090909091</v>
      </c>
    </row>
    <row r="34" customFormat="false" ht="15" hidden="false" customHeight="false" outlineLevel="0" collapsed="false">
      <c r="A34" s="5" t="s">
        <v>87</v>
      </c>
      <c r="B34" s="5" t="s">
        <v>88</v>
      </c>
      <c r="C34" s="20" t="n">
        <v>30</v>
      </c>
      <c r="D34" s="18" t="n">
        <f aca="false">C34*Pessoas!$F$2</f>
        <v>10.2272727272727</v>
      </c>
    </row>
    <row r="35" customFormat="false" ht="15" hidden="false" customHeight="false" outlineLevel="0" collapsed="false">
      <c r="A35" s="5" t="s">
        <v>87</v>
      </c>
      <c r="B35" s="5" t="s">
        <v>89</v>
      </c>
      <c r="C35" s="20" t="n">
        <v>20</v>
      </c>
      <c r="D35" s="18" t="n">
        <f aca="false">C35*Pessoas!$F$2</f>
        <v>6.81818181818182</v>
      </c>
    </row>
    <row r="36" customFormat="false" ht="15" hidden="false" customHeight="false" outlineLevel="0" collapsed="false">
      <c r="A36" s="5" t="s">
        <v>87</v>
      </c>
      <c r="B36" s="5" t="s">
        <v>90</v>
      </c>
      <c r="C36" s="20" t="n">
        <v>30</v>
      </c>
      <c r="D36" s="18" t="n">
        <f aca="false">C36*Pessoas!$F$2</f>
        <v>10.2272727272727</v>
      </c>
    </row>
    <row r="37" customFormat="false" ht="15" hidden="false" customHeight="false" outlineLevel="0" collapsed="false">
      <c r="A37" s="5" t="s">
        <v>87</v>
      </c>
      <c r="B37" s="5" t="s">
        <v>91</v>
      </c>
      <c r="C37" s="20" t="n">
        <v>120</v>
      </c>
      <c r="D37" s="18" t="n">
        <f aca="false">C37*Pessoas!$F$2</f>
        <v>40.9090909090909</v>
      </c>
    </row>
    <row r="38" customFormat="false" ht="15" hidden="false" customHeight="false" outlineLevel="0" collapsed="false">
      <c r="A38" s="5" t="s">
        <v>87</v>
      </c>
      <c r="B38" s="5" t="s">
        <v>92</v>
      </c>
      <c r="C38" s="20" t="n">
        <v>30</v>
      </c>
      <c r="D38" s="18" t="n">
        <f aca="false">C38*Pessoas!$F$2</f>
        <v>10.2272727272727</v>
      </c>
    </row>
    <row r="39" customFormat="false" ht="15" hidden="false" customHeight="false" outlineLevel="0" collapsed="false">
      <c r="A39" s="5" t="s">
        <v>87</v>
      </c>
      <c r="B39" s="5" t="s">
        <v>93</v>
      </c>
      <c r="C39" s="20" t="n">
        <v>240</v>
      </c>
      <c r="D39" s="18" t="n">
        <f aca="false">C39*Pessoas!$F$2</f>
        <v>81.8181818181818</v>
      </c>
    </row>
    <row r="40" customFormat="false" ht="15" hidden="false" customHeight="false" outlineLevel="0" collapsed="false">
      <c r="A40" s="5" t="s">
        <v>87</v>
      </c>
      <c r="B40" s="5" t="s">
        <v>94</v>
      </c>
      <c r="C40" s="20" t="n">
        <v>60</v>
      </c>
      <c r="D40" s="18" t="n">
        <f aca="false">C40*Pessoas!$F$2</f>
        <v>20.4545454545455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4" t="s">
        <v>95</v>
      </c>
      <c r="B1" s="4" t="s">
        <v>39</v>
      </c>
      <c r="C1" s="4" t="s">
        <v>96</v>
      </c>
      <c r="D1" s="4" t="s">
        <v>48</v>
      </c>
      <c r="E1" s="4" t="s">
        <v>97</v>
      </c>
      <c r="F1" s="4" t="s">
        <v>42</v>
      </c>
      <c r="G1" s="4" t="s">
        <v>98</v>
      </c>
      <c r="H1" s="4" t="s">
        <v>99</v>
      </c>
    </row>
    <row r="2" customFormat="false" ht="15" hidden="false" customHeight="false" outlineLevel="0" collapsed="false">
      <c r="A2" s="21" t="n">
        <v>46329</v>
      </c>
      <c r="B2" s="22" t="s">
        <v>44</v>
      </c>
      <c r="C2" s="22" t="s">
        <v>100</v>
      </c>
      <c r="D2" s="22" t="s">
        <v>55</v>
      </c>
      <c r="E2" s="23" t="n">
        <v>600</v>
      </c>
      <c r="F2" s="24" t="n">
        <f aca="false">IFERROR(INDEX(Pessoas!$E:$E,MATCH(B2,Pessoas!$A:$A,0)),0)</f>
        <v>20.4545454545455</v>
      </c>
      <c r="G2" s="24" t="n">
        <f aca="false">E2/60*F2</f>
        <v>204.545454545455</v>
      </c>
      <c r="H2" s="22" t="s">
        <v>101</v>
      </c>
    </row>
    <row r="3" customFormat="false" ht="15" hidden="false" customHeight="false" outlineLevel="0" collapsed="false">
      <c r="A3" s="21" t="n">
        <v>46336</v>
      </c>
      <c r="B3" s="22" t="s">
        <v>44</v>
      </c>
      <c r="C3" s="22" t="s">
        <v>100</v>
      </c>
      <c r="D3" s="22" t="s">
        <v>65</v>
      </c>
      <c r="E3" s="23" t="n">
        <v>480</v>
      </c>
      <c r="F3" s="24" t="n">
        <f aca="false">IFERROR(INDEX(Pessoas!$E:$E,MATCH(B3,Pessoas!$A:$A,0)),0)</f>
        <v>20.4545454545455</v>
      </c>
      <c r="G3" s="24" t="n">
        <f aca="false">E3/60*F3</f>
        <v>163.636363636364</v>
      </c>
      <c r="H3" s="22" t="s">
        <v>101</v>
      </c>
    </row>
    <row r="4" customFormat="false" ht="15" hidden="false" customHeight="false" outlineLevel="0" collapsed="false">
      <c r="A4" s="21" t="n">
        <v>46343</v>
      </c>
      <c r="B4" s="22" t="s">
        <v>44</v>
      </c>
      <c r="C4" s="22" t="s">
        <v>100</v>
      </c>
      <c r="D4" s="22" t="s">
        <v>71</v>
      </c>
      <c r="E4" s="23" t="n">
        <v>360</v>
      </c>
      <c r="F4" s="24" t="n">
        <f aca="false">IFERROR(INDEX(Pessoas!$E:$E,MATCH(B4,Pessoas!$A:$A,0)),0)</f>
        <v>20.4545454545455</v>
      </c>
      <c r="G4" s="24" t="n">
        <f aca="false">E4/60*F4</f>
        <v>122.727272727273</v>
      </c>
      <c r="H4" s="22" t="s">
        <v>101</v>
      </c>
    </row>
    <row r="5" customFormat="false" ht="15" hidden="false" customHeight="false" outlineLevel="0" collapsed="false">
      <c r="A5" s="21" t="n">
        <v>46350</v>
      </c>
      <c r="B5" s="22" t="s">
        <v>44</v>
      </c>
      <c r="C5" s="22" t="s">
        <v>100</v>
      </c>
      <c r="D5" s="22" t="s">
        <v>80</v>
      </c>
      <c r="E5" s="23" t="n">
        <v>240</v>
      </c>
      <c r="F5" s="24" t="n">
        <f aca="false">IFERROR(INDEX(Pessoas!$E:$E,MATCH(B5,Pessoas!$A:$A,0)),0)</f>
        <v>20.4545454545455</v>
      </c>
      <c r="G5" s="24" t="n">
        <f aca="false">E5/60*F5</f>
        <v>81.8181818181818</v>
      </c>
      <c r="H5" s="22" t="s">
        <v>101</v>
      </c>
    </row>
    <row r="6" customFormat="false" ht="15" hidden="false" customHeight="false" outlineLevel="0" collapsed="false">
      <c r="A6" s="21" t="n">
        <v>46352</v>
      </c>
      <c r="B6" s="22" t="s">
        <v>44</v>
      </c>
      <c r="C6" s="22" t="s">
        <v>102</v>
      </c>
      <c r="D6" s="22" t="s">
        <v>94</v>
      </c>
      <c r="E6" s="23" t="n">
        <v>240</v>
      </c>
      <c r="F6" s="24" t="n">
        <f aca="false">IFERROR(INDEX(Pessoas!$E:$E,MATCH(B6,Pessoas!$A:$A,0)),0)</f>
        <v>20.4545454545455</v>
      </c>
      <c r="G6" s="24" t="n">
        <f aca="false">E6/60*F6</f>
        <v>81.8181818181818</v>
      </c>
      <c r="H6" s="22" t="s">
        <v>101</v>
      </c>
    </row>
    <row r="7" customFormat="false" ht="15" hidden="false" customHeight="false" outlineLevel="0" collapsed="false">
      <c r="A7" s="21" t="n">
        <v>46353</v>
      </c>
      <c r="B7" s="22" t="s">
        <v>44</v>
      </c>
      <c r="C7" s="22" t="s">
        <v>100</v>
      </c>
      <c r="D7" s="22" t="s">
        <v>88</v>
      </c>
      <c r="E7" s="23" t="n">
        <v>480</v>
      </c>
      <c r="F7" s="24" t="n">
        <f aca="false">IFERROR(INDEX(Pessoas!$E:$E,MATCH(B7,Pessoas!$A:$A,0)),0)</f>
        <v>20.4545454545455</v>
      </c>
      <c r="G7" s="24" t="n">
        <f aca="false">E7/60*F7</f>
        <v>163.636363636364</v>
      </c>
      <c r="H7" s="22" t="s">
        <v>101</v>
      </c>
    </row>
    <row r="8" customFormat="false" ht="15" hidden="false" customHeight="false" outlineLevel="0" collapsed="false">
      <c r="A8" s="25"/>
      <c r="E8" s="26"/>
      <c r="F8" s="27" t="str">
        <f aca="false">IF(B8="","",IFERROR(INDEX(Pessoas!$E:$E,MATCH(B8,Pessoas!$A:$A,0)),0))</f>
        <v/>
      </c>
      <c r="G8" s="27" t="str">
        <f aca="false">IF(E8="","",E8/60*F8)</f>
        <v/>
      </c>
    </row>
    <row r="9" customFormat="false" ht="15" hidden="false" customHeight="false" outlineLevel="0" collapsed="false">
      <c r="A9" s="25"/>
      <c r="E9" s="26"/>
      <c r="F9" s="27" t="str">
        <f aca="false">IF(B9="","",IFERROR(INDEX(Pessoas!$E:$E,MATCH(B9,Pessoas!$A:$A,0)),0))</f>
        <v/>
      </c>
      <c r="G9" s="27" t="str">
        <f aca="false">IF(E9="","",E9/60*F9)</f>
        <v/>
      </c>
    </row>
    <row r="10" customFormat="false" ht="15" hidden="false" customHeight="false" outlineLevel="0" collapsed="false">
      <c r="A10" s="25"/>
      <c r="E10" s="26"/>
      <c r="F10" s="27" t="str">
        <f aca="false">IF(B10="","",IFERROR(INDEX(Pessoas!$E:$E,MATCH(B10,Pessoas!$A:$A,0)),0))</f>
        <v/>
      </c>
      <c r="G10" s="27" t="str">
        <f aca="false">IF(E10="","",E10/60*F10)</f>
        <v/>
      </c>
    </row>
    <row r="11" customFormat="false" ht="15" hidden="false" customHeight="false" outlineLevel="0" collapsed="false">
      <c r="A11" s="25"/>
      <c r="E11" s="26"/>
      <c r="F11" s="27" t="str">
        <f aca="false">IF(B11="","",IFERROR(INDEX(Pessoas!$E:$E,MATCH(B11,Pessoas!$A:$A,0)),0))</f>
        <v/>
      </c>
      <c r="G11" s="27" t="str">
        <f aca="false">IF(E11="","",E11/60*F11)</f>
        <v/>
      </c>
    </row>
    <row r="12" customFormat="false" ht="15" hidden="false" customHeight="false" outlineLevel="0" collapsed="false">
      <c r="A12" s="25"/>
      <c r="E12" s="26"/>
      <c r="F12" s="27" t="str">
        <f aca="false">IF(B12="","",IFERROR(INDEX(Pessoas!$E:$E,MATCH(B12,Pessoas!$A:$A,0)),0))</f>
        <v/>
      </c>
      <c r="G12" s="27" t="str">
        <f aca="false">IF(E12="","",E12/60*F12)</f>
        <v/>
      </c>
    </row>
    <row r="13" customFormat="false" ht="15" hidden="false" customHeight="false" outlineLevel="0" collapsed="false">
      <c r="A13" s="25"/>
      <c r="E13" s="26"/>
      <c r="F13" s="27" t="str">
        <f aca="false">IF(B13="","",IFERROR(INDEX(Pessoas!$E:$E,MATCH(B13,Pessoas!$A:$A,0)),0))</f>
        <v/>
      </c>
      <c r="G13" s="27" t="str">
        <f aca="false">IF(E13="","",E13/60*F13)</f>
        <v/>
      </c>
    </row>
    <row r="14" customFormat="false" ht="15" hidden="false" customHeight="false" outlineLevel="0" collapsed="false">
      <c r="A14" s="25"/>
      <c r="E14" s="26"/>
      <c r="F14" s="27" t="str">
        <f aca="false">IF(B14="","",IFERROR(INDEX(Pessoas!$E:$E,MATCH(B14,Pessoas!$A:$A,0)),0))</f>
        <v/>
      </c>
      <c r="G14" s="27" t="str">
        <f aca="false">IF(E14="","",E14/60*F14)</f>
        <v/>
      </c>
    </row>
    <row r="15" customFormat="false" ht="15" hidden="false" customHeight="false" outlineLevel="0" collapsed="false">
      <c r="A15" s="25"/>
      <c r="E15" s="26"/>
      <c r="F15" s="27" t="str">
        <f aca="false">IF(B15="","",IFERROR(INDEX(Pessoas!$E:$E,MATCH(B15,Pessoas!$A:$A,0)),0))</f>
        <v/>
      </c>
      <c r="G15" s="27" t="str">
        <f aca="false">IF(E15="","",E15/60*F15)</f>
        <v/>
      </c>
    </row>
    <row r="16" customFormat="false" ht="15" hidden="false" customHeight="false" outlineLevel="0" collapsed="false">
      <c r="A16" s="25"/>
      <c r="E16" s="26"/>
      <c r="F16" s="27" t="str">
        <f aca="false">IF(B16="","",IFERROR(INDEX(Pessoas!$E:$E,MATCH(B16,Pessoas!$A:$A,0)),0))</f>
        <v/>
      </c>
      <c r="G16" s="27" t="str">
        <f aca="false">IF(E16="","",E16/60*F16)</f>
        <v/>
      </c>
    </row>
    <row r="17" customFormat="false" ht="15" hidden="false" customHeight="false" outlineLevel="0" collapsed="false">
      <c r="A17" s="25"/>
      <c r="E17" s="26"/>
      <c r="F17" s="27" t="str">
        <f aca="false">IF(B17="","",IFERROR(INDEX(Pessoas!$E:$E,MATCH(B17,Pessoas!$A:$A,0)),0))</f>
        <v/>
      </c>
      <c r="G17" s="27" t="str">
        <f aca="false">IF(E17="","",E17/60*F17)</f>
        <v/>
      </c>
    </row>
    <row r="18" customFormat="false" ht="15" hidden="false" customHeight="false" outlineLevel="0" collapsed="false">
      <c r="A18" s="25"/>
      <c r="E18" s="26"/>
      <c r="F18" s="27" t="str">
        <f aca="false">IF(B18="","",IFERROR(INDEX(Pessoas!$E:$E,MATCH(B18,Pessoas!$A:$A,0)),0))</f>
        <v/>
      </c>
      <c r="G18" s="27" t="str">
        <f aca="false">IF(E18="","",E18/60*F18)</f>
        <v/>
      </c>
    </row>
    <row r="19" customFormat="false" ht="15" hidden="false" customHeight="false" outlineLevel="0" collapsed="false">
      <c r="A19" s="25"/>
      <c r="E19" s="26"/>
      <c r="F19" s="27" t="str">
        <f aca="false">IF(B19="","",IFERROR(INDEX(Pessoas!$E:$E,MATCH(B19,Pessoas!$A:$A,0)),0))</f>
        <v/>
      </c>
      <c r="G19" s="27" t="str">
        <f aca="false">IF(E19="","",E19/60*F19)</f>
        <v/>
      </c>
    </row>
    <row r="20" customFormat="false" ht="15" hidden="false" customHeight="false" outlineLevel="0" collapsed="false">
      <c r="A20" s="25"/>
      <c r="E20" s="26"/>
      <c r="F20" s="27" t="str">
        <f aca="false">IF(B20="","",IFERROR(INDEX(Pessoas!$E:$E,MATCH(B20,Pessoas!$A:$A,0)),0))</f>
        <v/>
      </c>
      <c r="G20" s="27" t="str">
        <f aca="false">IF(E20="","",E20/60*F20)</f>
        <v/>
      </c>
    </row>
    <row r="21" customFormat="false" ht="15" hidden="false" customHeight="false" outlineLevel="0" collapsed="false">
      <c r="A21" s="25"/>
      <c r="E21" s="26"/>
      <c r="F21" s="27" t="str">
        <f aca="false">IF(B21="","",IFERROR(INDEX(Pessoas!$E:$E,MATCH(B21,Pessoas!$A:$A,0)),0))</f>
        <v/>
      </c>
      <c r="G21" s="27" t="str">
        <f aca="false">IF(E21="","",E21/60*F21)</f>
        <v/>
      </c>
    </row>
    <row r="22" customFormat="false" ht="15" hidden="false" customHeight="false" outlineLevel="0" collapsed="false">
      <c r="A22" s="25"/>
      <c r="E22" s="26"/>
      <c r="F22" s="27" t="str">
        <f aca="false">IF(B22="","",IFERROR(INDEX(Pessoas!$E:$E,MATCH(B22,Pessoas!$A:$A,0)),0))</f>
        <v/>
      </c>
      <c r="G22" s="27" t="str">
        <f aca="false">IF(E22="","",E22/60*F22)</f>
        <v/>
      </c>
    </row>
    <row r="23" customFormat="false" ht="15" hidden="false" customHeight="false" outlineLevel="0" collapsed="false">
      <c r="A23" s="25"/>
      <c r="E23" s="26"/>
      <c r="F23" s="27" t="str">
        <f aca="false">IF(B23="","",IFERROR(INDEX(Pessoas!$E:$E,MATCH(B23,Pessoas!$A:$A,0)),0))</f>
        <v/>
      </c>
      <c r="G23" s="27" t="str">
        <f aca="false">IF(E23="","",E23/60*F23)</f>
        <v/>
      </c>
    </row>
    <row r="24" customFormat="false" ht="15" hidden="false" customHeight="false" outlineLevel="0" collapsed="false">
      <c r="A24" s="25"/>
      <c r="E24" s="26"/>
      <c r="F24" s="27" t="str">
        <f aca="false">IF(B24="","",IFERROR(INDEX(Pessoas!$E:$E,MATCH(B24,Pessoas!$A:$A,0)),0))</f>
        <v/>
      </c>
      <c r="G24" s="27" t="str">
        <f aca="false">IF(E24="","",E24/60*F24)</f>
        <v/>
      </c>
    </row>
    <row r="25" customFormat="false" ht="15" hidden="false" customHeight="false" outlineLevel="0" collapsed="false">
      <c r="A25" s="25"/>
      <c r="E25" s="26"/>
      <c r="F25" s="27" t="str">
        <f aca="false">IF(B25="","",IFERROR(INDEX(Pessoas!$E:$E,MATCH(B25,Pessoas!$A:$A,0)),0))</f>
        <v/>
      </c>
      <c r="G25" s="27" t="str">
        <f aca="false">IF(E25="","",E25/60*F25)</f>
        <v/>
      </c>
    </row>
    <row r="26" customFormat="false" ht="15" hidden="false" customHeight="false" outlineLevel="0" collapsed="false">
      <c r="A26" s="25"/>
      <c r="E26" s="26"/>
      <c r="F26" s="27" t="str">
        <f aca="false">IF(B26="","",IFERROR(INDEX(Pessoas!$E:$E,MATCH(B26,Pessoas!$A:$A,0)),0))</f>
        <v/>
      </c>
      <c r="G26" s="27" t="str">
        <f aca="false">IF(E26="","",E26/60*F26)</f>
        <v/>
      </c>
    </row>
    <row r="27" customFormat="false" ht="15" hidden="false" customHeight="false" outlineLevel="0" collapsed="false">
      <c r="A27" s="25"/>
      <c r="E27" s="26"/>
      <c r="F27" s="27" t="str">
        <f aca="false">IF(B27="","",IFERROR(INDEX(Pessoas!$E:$E,MATCH(B27,Pessoas!$A:$A,0)),0))</f>
        <v/>
      </c>
      <c r="G27" s="27" t="str">
        <f aca="false">IF(E27="","",E27/60*F27)</f>
        <v/>
      </c>
    </row>
    <row r="28" customFormat="false" ht="15" hidden="false" customHeight="false" outlineLevel="0" collapsed="false">
      <c r="A28" s="25"/>
      <c r="E28" s="26"/>
      <c r="F28" s="27" t="str">
        <f aca="false">IF(B28="","",IFERROR(INDEX(Pessoas!$E:$E,MATCH(B28,Pessoas!$A:$A,0)),0))</f>
        <v/>
      </c>
      <c r="G28" s="27" t="str">
        <f aca="false">IF(E28="","",E28/60*F28)</f>
        <v/>
      </c>
    </row>
    <row r="29" customFormat="false" ht="15" hidden="false" customHeight="false" outlineLevel="0" collapsed="false">
      <c r="A29" s="25"/>
      <c r="E29" s="26"/>
      <c r="F29" s="27" t="str">
        <f aca="false">IF(B29="","",IFERROR(INDEX(Pessoas!$E:$E,MATCH(B29,Pessoas!$A:$A,0)),0))</f>
        <v/>
      </c>
      <c r="G29" s="27" t="str">
        <f aca="false">IF(E29="","",E29/60*F29)</f>
        <v/>
      </c>
    </row>
    <row r="30" customFormat="false" ht="15" hidden="false" customHeight="false" outlineLevel="0" collapsed="false">
      <c r="A30" s="25"/>
      <c r="E30" s="26"/>
      <c r="F30" s="27" t="str">
        <f aca="false">IF(B30="","",IFERROR(INDEX(Pessoas!$E:$E,MATCH(B30,Pessoas!$A:$A,0)),0))</f>
        <v/>
      </c>
      <c r="G30" s="27" t="str">
        <f aca="false">IF(E30="","",E30/60*F30)</f>
        <v/>
      </c>
    </row>
    <row r="31" customFormat="false" ht="15" hidden="false" customHeight="false" outlineLevel="0" collapsed="false">
      <c r="A31" s="25"/>
      <c r="E31" s="26"/>
      <c r="F31" s="27" t="str">
        <f aca="false">IF(B31="","",IFERROR(INDEX(Pessoas!$E:$E,MATCH(B31,Pessoas!$A:$A,0)),0))</f>
        <v/>
      </c>
      <c r="G31" s="27" t="str">
        <f aca="false">IF(E31="","",E31/60*F31)</f>
        <v/>
      </c>
    </row>
    <row r="32" customFormat="false" ht="15" hidden="false" customHeight="false" outlineLevel="0" collapsed="false">
      <c r="A32" s="25"/>
      <c r="E32" s="26"/>
      <c r="F32" s="27" t="str">
        <f aca="false">IF(B32="","",IFERROR(INDEX(Pessoas!$E:$E,MATCH(B32,Pessoas!$A:$A,0)),0))</f>
        <v/>
      </c>
      <c r="G32" s="27" t="str">
        <f aca="false">IF(E32="","",E32/60*F32)</f>
        <v/>
      </c>
    </row>
    <row r="33" customFormat="false" ht="15" hidden="false" customHeight="false" outlineLevel="0" collapsed="false">
      <c r="A33" s="25"/>
      <c r="E33" s="26"/>
      <c r="F33" s="27" t="str">
        <f aca="false">IF(B33="","",IFERROR(INDEX(Pessoas!$E:$E,MATCH(B33,Pessoas!$A:$A,0)),0))</f>
        <v/>
      </c>
      <c r="G33" s="27" t="str">
        <f aca="false">IF(E33="","",E33/60*F33)</f>
        <v/>
      </c>
    </row>
    <row r="34" customFormat="false" ht="15" hidden="false" customHeight="false" outlineLevel="0" collapsed="false">
      <c r="A34" s="25"/>
      <c r="E34" s="26"/>
      <c r="F34" s="27" t="str">
        <f aca="false">IF(B34="","",IFERROR(INDEX(Pessoas!$E:$E,MATCH(B34,Pessoas!$A:$A,0)),0))</f>
        <v/>
      </c>
      <c r="G34" s="27" t="str">
        <f aca="false">IF(E34="","",E34/60*F34)</f>
        <v/>
      </c>
    </row>
    <row r="35" customFormat="false" ht="15" hidden="false" customHeight="false" outlineLevel="0" collapsed="false">
      <c r="A35" s="25"/>
      <c r="E35" s="26"/>
      <c r="F35" s="27" t="str">
        <f aca="false">IF(B35="","",IFERROR(INDEX(Pessoas!$E:$E,MATCH(B35,Pessoas!$A:$A,0)),0))</f>
        <v/>
      </c>
      <c r="G35" s="27" t="str">
        <f aca="false">IF(E35="","",E35/60*F35)</f>
        <v/>
      </c>
    </row>
    <row r="36" customFormat="false" ht="15" hidden="false" customHeight="false" outlineLevel="0" collapsed="false">
      <c r="A36" s="25"/>
      <c r="E36" s="26"/>
      <c r="F36" s="27" t="str">
        <f aca="false">IF(B36="","",IFERROR(INDEX(Pessoas!$E:$E,MATCH(B36,Pessoas!$A:$A,0)),0))</f>
        <v/>
      </c>
      <c r="G36" s="27" t="str">
        <f aca="false">IF(E36="","",E36/60*F36)</f>
        <v/>
      </c>
    </row>
    <row r="37" customFormat="false" ht="15" hidden="false" customHeight="false" outlineLevel="0" collapsed="false">
      <c r="A37" s="25"/>
      <c r="E37" s="26"/>
      <c r="F37" s="27" t="str">
        <f aca="false">IF(B37="","",IFERROR(INDEX(Pessoas!$E:$E,MATCH(B37,Pessoas!$A:$A,0)),0))</f>
        <v/>
      </c>
      <c r="G37" s="27" t="str">
        <f aca="false">IF(E37="","",E37/60*F37)</f>
        <v/>
      </c>
    </row>
    <row r="38" customFormat="false" ht="15" hidden="false" customHeight="false" outlineLevel="0" collapsed="false">
      <c r="A38" s="25"/>
      <c r="E38" s="26"/>
      <c r="F38" s="27" t="str">
        <f aca="false">IF(B38="","",IFERROR(INDEX(Pessoas!$E:$E,MATCH(B38,Pessoas!$A:$A,0)),0))</f>
        <v/>
      </c>
      <c r="G38" s="27" t="str">
        <f aca="false">IF(E38="","",E38/60*F38)</f>
        <v/>
      </c>
    </row>
    <row r="39" customFormat="false" ht="15" hidden="false" customHeight="false" outlineLevel="0" collapsed="false">
      <c r="A39" s="25"/>
      <c r="E39" s="26"/>
      <c r="F39" s="27" t="str">
        <f aca="false">IF(B39="","",IFERROR(INDEX(Pessoas!$E:$E,MATCH(B39,Pessoas!$A:$A,0)),0))</f>
        <v/>
      </c>
      <c r="G39" s="27" t="str">
        <f aca="false">IF(E39="","",E39/60*F39)</f>
        <v/>
      </c>
    </row>
    <row r="40" customFormat="false" ht="15" hidden="false" customHeight="false" outlineLevel="0" collapsed="false">
      <c r="A40" s="25"/>
      <c r="E40" s="26"/>
      <c r="F40" s="27" t="str">
        <f aca="false">IF(B40="","",IFERROR(INDEX(Pessoas!$E:$E,MATCH(B40,Pessoas!$A:$A,0)),0))</f>
        <v/>
      </c>
      <c r="G40" s="27" t="str">
        <f aca="false">IF(E40="","",E40/60*F40)</f>
        <v/>
      </c>
    </row>
    <row r="41" customFormat="false" ht="15" hidden="false" customHeight="false" outlineLevel="0" collapsed="false">
      <c r="A41" s="25"/>
      <c r="E41" s="26"/>
      <c r="F41" s="27" t="str">
        <f aca="false">IF(B41="","",IFERROR(INDEX(Pessoas!$E:$E,MATCH(B41,Pessoas!$A:$A,0)),0))</f>
        <v/>
      </c>
      <c r="G41" s="27" t="str">
        <f aca="false">IF(E41="","",E41/60*F41)</f>
        <v/>
      </c>
    </row>
    <row r="42" customFormat="false" ht="15" hidden="false" customHeight="false" outlineLevel="0" collapsed="false">
      <c r="A42" s="25"/>
      <c r="E42" s="26"/>
      <c r="F42" s="27" t="str">
        <f aca="false">IF(B42="","",IFERROR(INDEX(Pessoas!$E:$E,MATCH(B42,Pessoas!$A:$A,0)),0))</f>
        <v/>
      </c>
      <c r="G42" s="27" t="str">
        <f aca="false">IF(E42="","",E42/60*F42)</f>
        <v/>
      </c>
    </row>
    <row r="43" customFormat="false" ht="15" hidden="false" customHeight="false" outlineLevel="0" collapsed="false">
      <c r="A43" s="25"/>
      <c r="E43" s="26"/>
      <c r="F43" s="27" t="str">
        <f aca="false">IF(B43="","",IFERROR(INDEX(Pessoas!$E:$E,MATCH(B43,Pessoas!$A:$A,0)),0))</f>
        <v/>
      </c>
      <c r="G43" s="27" t="str">
        <f aca="false">IF(E43="","",E43/60*F43)</f>
        <v/>
      </c>
    </row>
    <row r="44" customFormat="false" ht="15" hidden="false" customHeight="false" outlineLevel="0" collapsed="false">
      <c r="A44" s="25"/>
      <c r="E44" s="26"/>
      <c r="F44" s="27" t="str">
        <f aca="false">IF(B44="","",IFERROR(INDEX(Pessoas!$E:$E,MATCH(B44,Pessoas!$A:$A,0)),0))</f>
        <v/>
      </c>
      <c r="G44" s="27" t="str">
        <f aca="false">IF(E44="","",E44/60*F44)</f>
        <v/>
      </c>
    </row>
    <row r="45" customFormat="false" ht="15" hidden="false" customHeight="false" outlineLevel="0" collapsed="false">
      <c r="A45" s="25"/>
      <c r="E45" s="26"/>
      <c r="F45" s="27" t="str">
        <f aca="false">IF(B45="","",IFERROR(INDEX(Pessoas!$E:$E,MATCH(B45,Pessoas!$A:$A,0)),0))</f>
        <v/>
      </c>
      <c r="G45" s="27" t="str">
        <f aca="false">IF(E45="","",E45/60*F45)</f>
        <v/>
      </c>
    </row>
    <row r="46" customFormat="false" ht="15" hidden="false" customHeight="false" outlineLevel="0" collapsed="false">
      <c r="A46" s="25"/>
      <c r="E46" s="26"/>
      <c r="F46" s="27" t="str">
        <f aca="false">IF(B46="","",IFERROR(INDEX(Pessoas!$E:$E,MATCH(B46,Pessoas!$A:$A,0)),0))</f>
        <v/>
      </c>
      <c r="G46" s="27" t="str">
        <f aca="false">IF(E46="","",E46/60*F46)</f>
        <v/>
      </c>
    </row>
    <row r="47" customFormat="false" ht="15" hidden="false" customHeight="false" outlineLevel="0" collapsed="false">
      <c r="A47" s="25"/>
      <c r="E47" s="26"/>
      <c r="F47" s="27" t="str">
        <f aca="false">IF(B47="","",IFERROR(INDEX(Pessoas!$E:$E,MATCH(B47,Pessoas!$A:$A,0)),0))</f>
        <v/>
      </c>
      <c r="G47" s="27" t="str">
        <f aca="false">IF(E47="","",E47/60*F47)</f>
        <v/>
      </c>
    </row>
    <row r="48" customFormat="false" ht="15" hidden="false" customHeight="false" outlineLevel="0" collapsed="false">
      <c r="A48" s="25"/>
      <c r="E48" s="26"/>
      <c r="F48" s="27" t="str">
        <f aca="false">IF(B48="","",IFERROR(INDEX(Pessoas!$E:$E,MATCH(B48,Pessoas!$A:$A,0)),0))</f>
        <v/>
      </c>
      <c r="G48" s="27" t="str">
        <f aca="false">IF(E48="","",E48/60*F48)</f>
        <v/>
      </c>
    </row>
    <row r="49" customFormat="false" ht="15" hidden="false" customHeight="false" outlineLevel="0" collapsed="false">
      <c r="A49" s="25"/>
      <c r="E49" s="26"/>
      <c r="F49" s="27" t="str">
        <f aca="false">IF(B49="","",IFERROR(INDEX(Pessoas!$E:$E,MATCH(B49,Pessoas!$A:$A,0)),0))</f>
        <v/>
      </c>
      <c r="G49" s="27" t="str">
        <f aca="false">IF(E49="","",E49/60*F49)</f>
        <v/>
      </c>
    </row>
    <row r="50" customFormat="false" ht="15" hidden="false" customHeight="false" outlineLevel="0" collapsed="false">
      <c r="A50" s="25"/>
      <c r="E50" s="26"/>
      <c r="F50" s="27" t="str">
        <f aca="false">IF(B50="","",IFERROR(INDEX(Pessoas!$E:$E,MATCH(B50,Pessoas!$A:$A,0)),0))</f>
        <v/>
      </c>
      <c r="G50" s="27" t="str">
        <f aca="false">IF(E50="","",E50/60*F50)</f>
        <v/>
      </c>
    </row>
    <row r="51" customFormat="false" ht="15" hidden="false" customHeight="false" outlineLevel="0" collapsed="false">
      <c r="A51" s="25"/>
      <c r="E51" s="26"/>
      <c r="F51" s="27" t="str">
        <f aca="false">IF(B51="","",IFERROR(INDEX(Pessoas!$E:$E,MATCH(B51,Pessoas!$A:$A,0)),0))</f>
        <v/>
      </c>
      <c r="G51" s="27" t="str">
        <f aca="false">IF(E51="","",E51/60*F51)</f>
        <v/>
      </c>
    </row>
    <row r="52" customFormat="false" ht="15" hidden="false" customHeight="false" outlineLevel="0" collapsed="false">
      <c r="A52" s="25"/>
      <c r="E52" s="26"/>
      <c r="F52" s="27" t="str">
        <f aca="false">IF(B52="","",IFERROR(INDEX(Pessoas!$E:$E,MATCH(B52,Pessoas!$A:$A,0)),0))</f>
        <v/>
      </c>
      <c r="G52" s="27" t="str">
        <f aca="false">IF(E52="","",E52/60*F52)</f>
        <v/>
      </c>
    </row>
    <row r="53" customFormat="false" ht="15" hidden="false" customHeight="false" outlineLevel="0" collapsed="false">
      <c r="A53" s="25"/>
      <c r="E53" s="26"/>
      <c r="F53" s="27" t="str">
        <f aca="false">IF(B53="","",IFERROR(INDEX(Pessoas!$E:$E,MATCH(B53,Pessoas!$A:$A,0)),0))</f>
        <v/>
      </c>
      <c r="G53" s="27" t="str">
        <f aca="false">IF(E53="","",E53/60*F53)</f>
        <v/>
      </c>
    </row>
    <row r="54" customFormat="false" ht="15" hidden="false" customHeight="false" outlineLevel="0" collapsed="false">
      <c r="A54" s="25"/>
      <c r="E54" s="26"/>
      <c r="F54" s="27" t="str">
        <f aca="false">IF(B54="","",IFERROR(INDEX(Pessoas!$E:$E,MATCH(B54,Pessoas!$A:$A,0)),0))</f>
        <v/>
      </c>
      <c r="G54" s="27" t="str">
        <f aca="false">IF(E54="","",E54/60*F54)</f>
        <v/>
      </c>
    </row>
    <row r="55" customFormat="false" ht="15" hidden="false" customHeight="false" outlineLevel="0" collapsed="false">
      <c r="A55" s="25"/>
      <c r="E55" s="26"/>
      <c r="F55" s="27" t="str">
        <f aca="false">IF(B55="","",IFERROR(INDEX(Pessoas!$E:$E,MATCH(B55,Pessoas!$A:$A,0)),0))</f>
        <v/>
      </c>
      <c r="G55" s="27" t="str">
        <f aca="false">IF(E55="","",E55/60*F55)</f>
        <v/>
      </c>
    </row>
    <row r="56" customFormat="false" ht="15" hidden="false" customHeight="false" outlineLevel="0" collapsed="false">
      <c r="A56" s="25"/>
      <c r="E56" s="26"/>
      <c r="F56" s="27" t="str">
        <f aca="false">IF(B56="","",IFERROR(INDEX(Pessoas!$E:$E,MATCH(B56,Pessoas!$A:$A,0)),0))</f>
        <v/>
      </c>
      <c r="G56" s="27" t="str">
        <f aca="false">IF(E56="","",E56/60*F56)</f>
        <v/>
      </c>
    </row>
    <row r="57" customFormat="false" ht="15" hidden="false" customHeight="false" outlineLevel="0" collapsed="false">
      <c r="A57" s="25"/>
      <c r="E57" s="26"/>
      <c r="F57" s="27" t="str">
        <f aca="false">IF(B57="","",IFERROR(INDEX(Pessoas!$E:$E,MATCH(B57,Pessoas!$A:$A,0)),0))</f>
        <v/>
      </c>
      <c r="G57" s="27" t="str">
        <f aca="false">IF(E57="","",E57/60*F57)</f>
        <v/>
      </c>
    </row>
    <row r="58" customFormat="false" ht="15" hidden="false" customHeight="false" outlineLevel="0" collapsed="false">
      <c r="A58" s="25"/>
      <c r="E58" s="26"/>
      <c r="F58" s="27" t="str">
        <f aca="false">IF(B58="","",IFERROR(INDEX(Pessoas!$E:$E,MATCH(B58,Pessoas!$A:$A,0)),0))</f>
        <v/>
      </c>
      <c r="G58" s="27" t="str">
        <f aca="false">IF(E58="","",E58/60*F58)</f>
        <v/>
      </c>
    </row>
    <row r="59" customFormat="false" ht="15" hidden="false" customHeight="false" outlineLevel="0" collapsed="false">
      <c r="A59" s="25"/>
      <c r="E59" s="26"/>
      <c r="F59" s="27" t="str">
        <f aca="false">IF(B59="","",IFERROR(INDEX(Pessoas!$E:$E,MATCH(B59,Pessoas!$A:$A,0)),0))</f>
        <v/>
      </c>
      <c r="G59" s="27" t="str">
        <f aca="false">IF(E59="","",E59/60*F59)</f>
        <v/>
      </c>
    </row>
    <row r="60" customFormat="false" ht="15" hidden="false" customHeight="false" outlineLevel="0" collapsed="false">
      <c r="A60" s="25"/>
      <c r="E60" s="26"/>
      <c r="F60" s="27" t="str">
        <f aca="false">IF(B60="","",IFERROR(INDEX(Pessoas!$E:$E,MATCH(B60,Pessoas!$A:$A,0)),0))</f>
        <v/>
      </c>
      <c r="G60" s="27" t="str">
        <f aca="false">IF(E60="","",E60/60*F60)</f>
        <v/>
      </c>
    </row>
    <row r="61" customFormat="false" ht="15" hidden="false" customHeight="false" outlineLevel="0" collapsed="false">
      <c r="A61" s="25"/>
      <c r="E61" s="26"/>
      <c r="F61" s="27" t="str">
        <f aca="false">IF(B61="","",IFERROR(INDEX(Pessoas!$E:$E,MATCH(B61,Pessoas!$A:$A,0)),0))</f>
        <v/>
      </c>
      <c r="G61" s="27" t="str">
        <f aca="false">IF(E61="","",E61/60*F61)</f>
        <v/>
      </c>
    </row>
    <row r="62" customFormat="false" ht="15" hidden="false" customHeight="false" outlineLevel="0" collapsed="false">
      <c r="A62" s="25"/>
      <c r="E62" s="26"/>
      <c r="F62" s="27" t="str">
        <f aca="false">IF(B62="","",IFERROR(INDEX(Pessoas!$E:$E,MATCH(B62,Pessoas!$A:$A,0)),0))</f>
        <v/>
      </c>
      <c r="G62" s="27" t="str">
        <f aca="false">IF(E62="","",E62/60*F62)</f>
        <v/>
      </c>
    </row>
    <row r="63" customFormat="false" ht="15" hidden="false" customHeight="false" outlineLevel="0" collapsed="false">
      <c r="A63" s="25"/>
      <c r="E63" s="26"/>
      <c r="F63" s="27" t="str">
        <f aca="false">IF(B63="","",IFERROR(INDEX(Pessoas!$E:$E,MATCH(B63,Pessoas!$A:$A,0)),0))</f>
        <v/>
      </c>
      <c r="G63" s="27" t="str">
        <f aca="false">IF(E63="","",E63/60*F63)</f>
        <v/>
      </c>
    </row>
    <row r="64" customFormat="false" ht="15" hidden="false" customHeight="false" outlineLevel="0" collapsed="false">
      <c r="A64" s="25"/>
      <c r="E64" s="26"/>
      <c r="F64" s="27" t="str">
        <f aca="false">IF(B64="","",IFERROR(INDEX(Pessoas!$E:$E,MATCH(B64,Pessoas!$A:$A,0)),0))</f>
        <v/>
      </c>
      <c r="G64" s="27" t="str">
        <f aca="false">IF(E64="","",E64/60*F64)</f>
        <v/>
      </c>
    </row>
    <row r="65" customFormat="false" ht="15" hidden="false" customHeight="false" outlineLevel="0" collapsed="false">
      <c r="A65" s="25"/>
      <c r="E65" s="26"/>
      <c r="F65" s="27" t="str">
        <f aca="false">IF(B65="","",IFERROR(INDEX(Pessoas!$E:$E,MATCH(B65,Pessoas!$A:$A,0)),0))</f>
        <v/>
      </c>
      <c r="G65" s="27" t="str">
        <f aca="false">IF(E65="","",E65/60*F65)</f>
        <v/>
      </c>
    </row>
    <row r="66" customFormat="false" ht="15" hidden="false" customHeight="false" outlineLevel="0" collapsed="false">
      <c r="A66" s="25"/>
      <c r="E66" s="26"/>
      <c r="F66" s="27" t="str">
        <f aca="false">IF(B66="","",IFERROR(INDEX(Pessoas!$E:$E,MATCH(B66,Pessoas!$A:$A,0)),0))</f>
        <v/>
      </c>
      <c r="G66" s="27" t="str">
        <f aca="false">IF(E66="","",E66/60*F66)</f>
        <v/>
      </c>
    </row>
    <row r="67" customFormat="false" ht="15" hidden="false" customHeight="false" outlineLevel="0" collapsed="false">
      <c r="A67" s="25"/>
      <c r="E67" s="26"/>
      <c r="F67" s="27" t="str">
        <f aca="false">IF(B67="","",IFERROR(INDEX(Pessoas!$E:$E,MATCH(B67,Pessoas!$A:$A,0)),0))</f>
        <v/>
      </c>
      <c r="G67" s="27" t="str">
        <f aca="false">IF(E67="","",E67/60*F67)</f>
        <v/>
      </c>
    </row>
    <row r="68" customFormat="false" ht="15" hidden="false" customHeight="false" outlineLevel="0" collapsed="false">
      <c r="A68" s="25"/>
      <c r="E68" s="26"/>
      <c r="F68" s="27" t="str">
        <f aca="false">IF(B68="","",IFERROR(INDEX(Pessoas!$E:$E,MATCH(B68,Pessoas!$A:$A,0)),0))</f>
        <v/>
      </c>
      <c r="G68" s="27" t="str">
        <f aca="false">IF(E68="","",E68/60*F68)</f>
        <v/>
      </c>
    </row>
    <row r="69" customFormat="false" ht="15" hidden="false" customHeight="false" outlineLevel="0" collapsed="false">
      <c r="A69" s="25"/>
      <c r="E69" s="26"/>
      <c r="F69" s="27" t="str">
        <f aca="false">IF(B69="","",IFERROR(INDEX(Pessoas!$E:$E,MATCH(B69,Pessoas!$A:$A,0)),0))</f>
        <v/>
      </c>
      <c r="G69" s="27" t="str">
        <f aca="false">IF(E69="","",E69/60*F69)</f>
        <v/>
      </c>
    </row>
    <row r="70" customFormat="false" ht="15" hidden="false" customHeight="false" outlineLevel="0" collapsed="false">
      <c r="A70" s="25"/>
      <c r="E70" s="26"/>
      <c r="F70" s="27" t="str">
        <f aca="false">IF(B70="","",IFERROR(INDEX(Pessoas!$E:$E,MATCH(B70,Pessoas!$A:$A,0)),0))</f>
        <v/>
      </c>
      <c r="G70" s="27" t="str">
        <f aca="false">IF(E70="","",E70/60*F70)</f>
        <v/>
      </c>
    </row>
    <row r="71" customFormat="false" ht="15" hidden="false" customHeight="false" outlineLevel="0" collapsed="false">
      <c r="A71" s="25"/>
      <c r="E71" s="26"/>
      <c r="F71" s="27" t="str">
        <f aca="false">IF(B71="","",IFERROR(INDEX(Pessoas!$E:$E,MATCH(B71,Pessoas!$A:$A,0)),0))</f>
        <v/>
      </c>
      <c r="G71" s="27" t="str">
        <f aca="false">IF(E71="","",E71/60*F71)</f>
        <v/>
      </c>
    </row>
    <row r="72" customFormat="false" ht="15" hidden="false" customHeight="false" outlineLevel="0" collapsed="false">
      <c r="A72" s="25"/>
      <c r="E72" s="26"/>
      <c r="F72" s="27" t="str">
        <f aca="false">IF(B72="","",IFERROR(INDEX(Pessoas!$E:$E,MATCH(B72,Pessoas!$A:$A,0)),0))</f>
        <v/>
      </c>
      <c r="G72" s="27" t="str">
        <f aca="false">IF(E72="","",E72/60*F72)</f>
        <v/>
      </c>
    </row>
    <row r="73" customFormat="false" ht="15" hidden="false" customHeight="false" outlineLevel="0" collapsed="false">
      <c r="A73" s="25"/>
      <c r="E73" s="26"/>
      <c r="F73" s="27" t="str">
        <f aca="false">IF(B73="","",IFERROR(INDEX(Pessoas!$E:$E,MATCH(B73,Pessoas!$A:$A,0)),0))</f>
        <v/>
      </c>
      <c r="G73" s="27" t="str">
        <f aca="false">IF(E73="","",E73/60*F73)</f>
        <v/>
      </c>
    </row>
    <row r="74" customFormat="false" ht="15" hidden="false" customHeight="false" outlineLevel="0" collapsed="false">
      <c r="A74" s="25"/>
      <c r="E74" s="26"/>
      <c r="F74" s="27" t="str">
        <f aca="false">IF(B74="","",IFERROR(INDEX(Pessoas!$E:$E,MATCH(B74,Pessoas!$A:$A,0)),0))</f>
        <v/>
      </c>
      <c r="G74" s="27" t="str">
        <f aca="false">IF(E74="","",E74/60*F74)</f>
        <v/>
      </c>
    </row>
    <row r="75" customFormat="false" ht="15" hidden="false" customHeight="false" outlineLevel="0" collapsed="false">
      <c r="A75" s="25"/>
      <c r="E75" s="26"/>
      <c r="F75" s="27" t="str">
        <f aca="false">IF(B75="","",IFERROR(INDEX(Pessoas!$E:$E,MATCH(B75,Pessoas!$A:$A,0)),0))</f>
        <v/>
      </c>
      <c r="G75" s="27" t="str">
        <f aca="false">IF(E75="","",E75/60*F75)</f>
        <v/>
      </c>
    </row>
    <row r="76" customFormat="false" ht="15" hidden="false" customHeight="false" outlineLevel="0" collapsed="false">
      <c r="A76" s="25"/>
      <c r="E76" s="26"/>
      <c r="F76" s="27" t="str">
        <f aca="false">IF(B76="","",IFERROR(INDEX(Pessoas!$E:$E,MATCH(B76,Pessoas!$A:$A,0)),0))</f>
        <v/>
      </c>
      <c r="G76" s="27" t="str">
        <f aca="false">IF(E76="","",E76/60*F76)</f>
        <v/>
      </c>
    </row>
    <row r="77" customFormat="false" ht="15" hidden="false" customHeight="false" outlineLevel="0" collapsed="false">
      <c r="A77" s="25"/>
      <c r="E77" s="26"/>
      <c r="F77" s="27" t="str">
        <f aca="false">IF(B77="","",IFERROR(INDEX(Pessoas!$E:$E,MATCH(B77,Pessoas!$A:$A,0)),0))</f>
        <v/>
      </c>
      <c r="G77" s="27" t="str">
        <f aca="false">IF(E77="","",E77/60*F77)</f>
        <v/>
      </c>
    </row>
    <row r="78" customFormat="false" ht="15" hidden="false" customHeight="false" outlineLevel="0" collapsed="false">
      <c r="A78" s="25"/>
      <c r="E78" s="26"/>
      <c r="F78" s="27" t="str">
        <f aca="false">IF(B78="","",IFERROR(INDEX(Pessoas!$E:$E,MATCH(B78,Pessoas!$A:$A,0)),0))</f>
        <v/>
      </c>
      <c r="G78" s="27" t="str">
        <f aca="false">IF(E78="","",E78/60*F78)</f>
        <v/>
      </c>
    </row>
    <row r="79" customFormat="false" ht="15" hidden="false" customHeight="false" outlineLevel="0" collapsed="false">
      <c r="A79" s="25"/>
      <c r="E79" s="26"/>
      <c r="F79" s="27" t="str">
        <f aca="false">IF(B79="","",IFERROR(INDEX(Pessoas!$E:$E,MATCH(B79,Pessoas!$A:$A,0)),0))</f>
        <v/>
      </c>
      <c r="G79" s="27" t="str">
        <f aca="false">IF(E79="","",E79/60*F79)</f>
        <v/>
      </c>
    </row>
    <row r="80" customFormat="false" ht="15" hidden="false" customHeight="false" outlineLevel="0" collapsed="false">
      <c r="A80" s="25"/>
      <c r="E80" s="26"/>
      <c r="F80" s="27" t="str">
        <f aca="false">IF(B80="","",IFERROR(INDEX(Pessoas!$E:$E,MATCH(B80,Pessoas!$A:$A,0)),0))</f>
        <v/>
      </c>
      <c r="G80" s="27" t="str">
        <f aca="false">IF(E80="","",E80/60*F80)</f>
        <v/>
      </c>
    </row>
    <row r="81" customFormat="false" ht="15" hidden="false" customHeight="false" outlineLevel="0" collapsed="false">
      <c r="A81" s="25"/>
      <c r="E81" s="26"/>
      <c r="F81" s="27" t="str">
        <f aca="false">IF(B81="","",IFERROR(INDEX(Pessoas!$E:$E,MATCH(B81,Pessoas!$A:$A,0)),0))</f>
        <v/>
      </c>
      <c r="G81" s="27" t="str">
        <f aca="false">IF(E81="","",E81/60*F81)</f>
        <v/>
      </c>
    </row>
    <row r="82" customFormat="false" ht="15" hidden="false" customHeight="false" outlineLevel="0" collapsed="false">
      <c r="A82" s="25"/>
      <c r="E82" s="26"/>
      <c r="F82" s="27" t="str">
        <f aca="false">IF(B82="","",IFERROR(INDEX(Pessoas!$E:$E,MATCH(B82,Pessoas!$A:$A,0)),0))</f>
        <v/>
      </c>
      <c r="G82" s="27" t="str">
        <f aca="false">IF(E82="","",E82/60*F82)</f>
        <v/>
      </c>
    </row>
    <row r="83" customFormat="false" ht="15" hidden="false" customHeight="false" outlineLevel="0" collapsed="false">
      <c r="A83" s="25"/>
      <c r="E83" s="26"/>
      <c r="F83" s="27" t="str">
        <f aca="false">IF(B83="","",IFERROR(INDEX(Pessoas!$E:$E,MATCH(B83,Pessoas!$A:$A,0)),0))</f>
        <v/>
      </c>
      <c r="G83" s="27" t="str">
        <f aca="false">IF(E83="","",E83/60*F83)</f>
        <v/>
      </c>
    </row>
    <row r="84" customFormat="false" ht="15" hidden="false" customHeight="false" outlineLevel="0" collapsed="false">
      <c r="A84" s="25"/>
      <c r="E84" s="26"/>
      <c r="F84" s="27" t="str">
        <f aca="false">IF(B84="","",IFERROR(INDEX(Pessoas!$E:$E,MATCH(B84,Pessoas!$A:$A,0)),0))</f>
        <v/>
      </c>
      <c r="G84" s="27" t="str">
        <f aca="false">IF(E84="","",E84/60*F84)</f>
        <v/>
      </c>
    </row>
    <row r="85" customFormat="false" ht="15" hidden="false" customHeight="false" outlineLevel="0" collapsed="false">
      <c r="A85" s="25"/>
      <c r="E85" s="26"/>
      <c r="F85" s="27" t="str">
        <f aca="false">IF(B85="","",IFERROR(INDEX(Pessoas!$E:$E,MATCH(B85,Pessoas!$A:$A,0)),0))</f>
        <v/>
      </c>
      <c r="G85" s="27" t="str">
        <f aca="false">IF(E85="","",E85/60*F85)</f>
        <v/>
      </c>
    </row>
    <row r="86" customFormat="false" ht="15" hidden="false" customHeight="false" outlineLevel="0" collapsed="false">
      <c r="A86" s="25"/>
      <c r="E86" s="26"/>
      <c r="F86" s="27" t="str">
        <f aca="false">IF(B86="","",IFERROR(INDEX(Pessoas!$E:$E,MATCH(B86,Pessoas!$A:$A,0)),0))</f>
        <v/>
      </c>
      <c r="G86" s="27" t="str">
        <f aca="false">IF(E86="","",E86/60*F86)</f>
        <v/>
      </c>
    </row>
    <row r="87" customFormat="false" ht="15" hidden="false" customHeight="false" outlineLevel="0" collapsed="false">
      <c r="A87" s="25"/>
      <c r="E87" s="26"/>
      <c r="F87" s="27" t="str">
        <f aca="false">IF(B87="","",IFERROR(INDEX(Pessoas!$E:$E,MATCH(B87,Pessoas!$A:$A,0)),0))</f>
        <v/>
      </c>
      <c r="G87" s="27" t="str">
        <f aca="false">IF(E87="","",E87/60*F87)</f>
        <v/>
      </c>
    </row>
    <row r="88" customFormat="false" ht="15" hidden="false" customHeight="false" outlineLevel="0" collapsed="false">
      <c r="A88" s="25"/>
      <c r="E88" s="26"/>
      <c r="F88" s="27" t="str">
        <f aca="false">IF(B88="","",IFERROR(INDEX(Pessoas!$E:$E,MATCH(B88,Pessoas!$A:$A,0)),0))</f>
        <v/>
      </c>
      <c r="G88" s="27" t="str">
        <f aca="false">IF(E88="","",E88/60*F88)</f>
        <v/>
      </c>
    </row>
    <row r="89" customFormat="false" ht="15" hidden="false" customHeight="false" outlineLevel="0" collapsed="false">
      <c r="A89" s="25"/>
      <c r="E89" s="26"/>
      <c r="F89" s="27" t="str">
        <f aca="false">IF(B89="","",IFERROR(INDEX(Pessoas!$E:$E,MATCH(B89,Pessoas!$A:$A,0)),0))</f>
        <v/>
      </c>
      <c r="G89" s="27" t="str">
        <f aca="false">IF(E89="","",E89/60*F89)</f>
        <v/>
      </c>
    </row>
    <row r="90" customFormat="false" ht="15" hidden="false" customHeight="false" outlineLevel="0" collapsed="false">
      <c r="A90" s="25"/>
      <c r="E90" s="26"/>
      <c r="F90" s="27" t="str">
        <f aca="false">IF(B90="","",IFERROR(INDEX(Pessoas!$E:$E,MATCH(B90,Pessoas!$A:$A,0)),0))</f>
        <v/>
      </c>
      <c r="G90" s="27" t="str">
        <f aca="false">IF(E90="","",E90/60*F90)</f>
        <v/>
      </c>
    </row>
    <row r="91" customFormat="false" ht="15" hidden="false" customHeight="false" outlineLevel="0" collapsed="false">
      <c r="A91" s="25"/>
      <c r="E91" s="26"/>
      <c r="F91" s="27" t="str">
        <f aca="false">IF(B91="","",IFERROR(INDEX(Pessoas!$E:$E,MATCH(B91,Pessoas!$A:$A,0)),0))</f>
        <v/>
      </c>
      <c r="G91" s="27" t="str">
        <f aca="false">IF(E91="","",E91/60*F91)</f>
        <v/>
      </c>
    </row>
    <row r="92" customFormat="false" ht="15" hidden="false" customHeight="false" outlineLevel="0" collapsed="false">
      <c r="A92" s="25"/>
      <c r="E92" s="26"/>
      <c r="F92" s="27" t="str">
        <f aca="false">IF(B92="","",IFERROR(INDEX(Pessoas!$E:$E,MATCH(B92,Pessoas!$A:$A,0)),0))</f>
        <v/>
      </c>
      <c r="G92" s="27" t="str">
        <f aca="false">IF(E92="","",E92/60*F92)</f>
        <v/>
      </c>
    </row>
    <row r="93" customFormat="false" ht="15" hidden="false" customHeight="false" outlineLevel="0" collapsed="false">
      <c r="A93" s="25"/>
      <c r="E93" s="26"/>
      <c r="F93" s="27" t="str">
        <f aca="false">IF(B93="","",IFERROR(INDEX(Pessoas!$E:$E,MATCH(B93,Pessoas!$A:$A,0)),0))</f>
        <v/>
      </c>
      <c r="G93" s="27" t="str">
        <f aca="false">IF(E93="","",E93/60*F93)</f>
        <v/>
      </c>
    </row>
    <row r="94" customFormat="false" ht="15" hidden="false" customHeight="false" outlineLevel="0" collapsed="false">
      <c r="A94" s="25"/>
      <c r="E94" s="26"/>
      <c r="F94" s="27" t="str">
        <f aca="false">IF(B94="","",IFERROR(INDEX(Pessoas!$E:$E,MATCH(B94,Pessoas!$A:$A,0)),0))</f>
        <v/>
      </c>
      <c r="G94" s="27" t="str">
        <f aca="false">IF(E94="","",E94/60*F94)</f>
        <v/>
      </c>
    </row>
    <row r="95" customFormat="false" ht="15" hidden="false" customHeight="false" outlineLevel="0" collapsed="false">
      <c r="A95" s="25"/>
      <c r="E95" s="26"/>
      <c r="F95" s="27" t="str">
        <f aca="false">IF(B95="","",IFERROR(INDEX(Pessoas!$E:$E,MATCH(B95,Pessoas!$A:$A,0)),0))</f>
        <v/>
      </c>
      <c r="G95" s="27" t="str">
        <f aca="false">IF(E95="","",E95/60*F95)</f>
        <v/>
      </c>
    </row>
    <row r="96" customFormat="false" ht="15" hidden="false" customHeight="false" outlineLevel="0" collapsed="false">
      <c r="A96" s="25"/>
      <c r="E96" s="26"/>
      <c r="F96" s="27" t="str">
        <f aca="false">IF(B96="","",IFERROR(INDEX(Pessoas!$E:$E,MATCH(B96,Pessoas!$A:$A,0)),0))</f>
        <v/>
      </c>
      <c r="G96" s="27" t="str">
        <f aca="false">IF(E96="","",E96/60*F96)</f>
        <v/>
      </c>
    </row>
    <row r="97" customFormat="false" ht="15" hidden="false" customHeight="false" outlineLevel="0" collapsed="false">
      <c r="A97" s="25"/>
      <c r="E97" s="26"/>
      <c r="F97" s="27" t="str">
        <f aca="false">IF(B97="","",IFERROR(INDEX(Pessoas!$E:$E,MATCH(B97,Pessoas!$A:$A,0)),0))</f>
        <v/>
      </c>
      <c r="G97" s="27" t="str">
        <f aca="false">IF(E97="","",E97/60*F97)</f>
        <v/>
      </c>
    </row>
    <row r="98" customFormat="false" ht="15" hidden="false" customHeight="false" outlineLevel="0" collapsed="false">
      <c r="A98" s="25"/>
      <c r="E98" s="26"/>
      <c r="F98" s="27" t="str">
        <f aca="false">IF(B98="","",IFERROR(INDEX(Pessoas!$E:$E,MATCH(B98,Pessoas!$A:$A,0)),0))</f>
        <v/>
      </c>
      <c r="G98" s="27" t="str">
        <f aca="false">IF(E98="","",E98/60*F98)</f>
        <v/>
      </c>
    </row>
    <row r="99" customFormat="false" ht="15" hidden="false" customHeight="false" outlineLevel="0" collapsed="false">
      <c r="A99" s="25"/>
      <c r="E99" s="26"/>
      <c r="F99" s="27" t="str">
        <f aca="false">IF(B99="","",IFERROR(INDEX(Pessoas!$E:$E,MATCH(B99,Pessoas!$A:$A,0)),0))</f>
        <v/>
      </c>
      <c r="G99" s="27" t="str">
        <f aca="false">IF(E99="","",E99/60*F99)</f>
        <v/>
      </c>
    </row>
    <row r="100" customFormat="false" ht="15" hidden="false" customHeight="false" outlineLevel="0" collapsed="false">
      <c r="A100" s="25"/>
      <c r="E100" s="26"/>
      <c r="F100" s="27" t="str">
        <f aca="false">IF(B100="","",IFERROR(INDEX(Pessoas!$E:$E,MATCH(B100,Pessoas!$A:$A,0)),0))</f>
        <v/>
      </c>
      <c r="G100" s="27" t="str">
        <f aca="false">IF(E100="","",E100/60*F100)</f>
        <v/>
      </c>
    </row>
    <row r="101" customFormat="false" ht="15" hidden="false" customHeight="false" outlineLevel="0" collapsed="false">
      <c r="A101" s="25"/>
      <c r="E101" s="26"/>
      <c r="F101" s="27" t="str">
        <f aca="false">IF(B101="","",IFERROR(INDEX(Pessoas!$E:$E,MATCH(B101,Pessoas!$A:$A,0)),0))</f>
        <v/>
      </c>
      <c r="G101" s="27" t="str">
        <f aca="false">IF(E101="","",E101/60*F101)</f>
        <v/>
      </c>
    </row>
    <row r="102" customFormat="false" ht="15" hidden="false" customHeight="false" outlineLevel="0" collapsed="false">
      <c r="A102" s="25"/>
      <c r="E102" s="26"/>
      <c r="F102" s="27" t="str">
        <f aca="false">IF(B102="","",IFERROR(INDEX(Pessoas!$E:$E,MATCH(B102,Pessoas!$A:$A,0)),0))</f>
        <v/>
      </c>
      <c r="G102" s="27" t="str">
        <f aca="false">IF(E102="","",E102/60*F102)</f>
        <v/>
      </c>
    </row>
    <row r="103" customFormat="false" ht="15" hidden="false" customHeight="false" outlineLevel="0" collapsed="false">
      <c r="A103" s="25"/>
      <c r="E103" s="26"/>
      <c r="F103" s="27" t="str">
        <f aca="false">IF(B103="","",IFERROR(INDEX(Pessoas!$E:$E,MATCH(B103,Pessoas!$A:$A,0)),0))</f>
        <v/>
      </c>
      <c r="G103" s="27" t="str">
        <f aca="false">IF(E103="","",E103/60*F103)</f>
        <v/>
      </c>
    </row>
    <row r="104" customFormat="false" ht="15" hidden="false" customHeight="false" outlineLevel="0" collapsed="false">
      <c r="A104" s="25"/>
      <c r="E104" s="26"/>
      <c r="F104" s="27" t="str">
        <f aca="false">IF(B104="","",IFERROR(INDEX(Pessoas!$E:$E,MATCH(B104,Pessoas!$A:$A,0)),0))</f>
        <v/>
      </c>
      <c r="G104" s="27" t="str">
        <f aca="false">IF(E104="","",E104/60*F104)</f>
        <v/>
      </c>
    </row>
    <row r="105" customFormat="false" ht="15" hidden="false" customHeight="false" outlineLevel="0" collapsed="false">
      <c r="A105" s="25"/>
      <c r="E105" s="26"/>
      <c r="F105" s="27" t="str">
        <f aca="false">IF(B105="","",IFERROR(INDEX(Pessoas!$E:$E,MATCH(B105,Pessoas!$A:$A,0)),0))</f>
        <v/>
      </c>
      <c r="G105" s="27" t="str">
        <f aca="false">IF(E105="","",E105/60*F105)</f>
        <v/>
      </c>
    </row>
    <row r="106" customFormat="false" ht="15" hidden="false" customHeight="false" outlineLevel="0" collapsed="false">
      <c r="A106" s="25"/>
      <c r="E106" s="26"/>
      <c r="F106" s="27" t="str">
        <f aca="false">IF(B106="","",IFERROR(INDEX(Pessoas!$E:$E,MATCH(B106,Pessoas!$A:$A,0)),0))</f>
        <v/>
      </c>
      <c r="G106" s="27" t="str">
        <f aca="false">IF(E106="","",E106/60*F106)</f>
        <v/>
      </c>
    </row>
    <row r="107" customFormat="false" ht="15" hidden="false" customHeight="false" outlineLevel="0" collapsed="false">
      <c r="A107" s="25"/>
      <c r="E107" s="26"/>
      <c r="F107" s="27" t="str">
        <f aca="false">IF(B107="","",IFERROR(INDEX(Pessoas!$E:$E,MATCH(B107,Pessoas!$A:$A,0)),0))</f>
        <v/>
      </c>
      <c r="G107" s="27" t="str">
        <f aca="false">IF(E107="","",E107/60*F107)</f>
        <v/>
      </c>
    </row>
    <row r="108" customFormat="false" ht="15" hidden="false" customHeight="false" outlineLevel="0" collapsed="false">
      <c r="A108" s="25"/>
      <c r="E108" s="26"/>
      <c r="F108" s="27" t="str">
        <f aca="false">IF(B108="","",IFERROR(INDEX(Pessoas!$E:$E,MATCH(B108,Pessoas!$A:$A,0)),0))</f>
        <v/>
      </c>
      <c r="G108" s="27" t="str">
        <f aca="false">IF(E108="","",E108/60*F108)</f>
        <v/>
      </c>
    </row>
    <row r="109" customFormat="false" ht="15" hidden="false" customHeight="false" outlineLevel="0" collapsed="false">
      <c r="A109" s="25"/>
      <c r="E109" s="26"/>
      <c r="F109" s="27" t="str">
        <f aca="false">IF(B109="","",IFERROR(INDEX(Pessoas!$E:$E,MATCH(B109,Pessoas!$A:$A,0)),0))</f>
        <v/>
      </c>
      <c r="G109" s="27" t="str">
        <f aca="false">IF(E109="","",E109/60*F109)</f>
        <v/>
      </c>
    </row>
    <row r="110" customFormat="false" ht="15" hidden="false" customHeight="false" outlineLevel="0" collapsed="false">
      <c r="A110" s="25"/>
      <c r="E110" s="26"/>
      <c r="F110" s="27" t="str">
        <f aca="false">IF(B110="","",IFERROR(INDEX(Pessoas!$E:$E,MATCH(B110,Pessoas!$A:$A,0)),0))</f>
        <v/>
      </c>
      <c r="G110" s="27" t="str">
        <f aca="false">IF(E110="","",E110/60*F110)</f>
        <v/>
      </c>
    </row>
    <row r="111" customFormat="false" ht="15" hidden="false" customHeight="false" outlineLevel="0" collapsed="false">
      <c r="A111" s="25"/>
      <c r="E111" s="26"/>
      <c r="F111" s="27" t="str">
        <f aca="false">IF(B111="","",IFERROR(INDEX(Pessoas!$E:$E,MATCH(B111,Pessoas!$A:$A,0)),0))</f>
        <v/>
      </c>
      <c r="G111" s="27" t="str">
        <f aca="false">IF(E111="","",E111/60*F111)</f>
        <v/>
      </c>
    </row>
    <row r="112" customFormat="false" ht="15" hidden="false" customHeight="false" outlineLevel="0" collapsed="false">
      <c r="A112" s="25"/>
      <c r="E112" s="26"/>
      <c r="F112" s="27" t="str">
        <f aca="false">IF(B112="","",IFERROR(INDEX(Pessoas!$E:$E,MATCH(B112,Pessoas!$A:$A,0)),0))</f>
        <v/>
      </c>
      <c r="G112" s="27" t="str">
        <f aca="false">IF(E112="","",E112/60*F112)</f>
        <v/>
      </c>
    </row>
    <row r="113" customFormat="false" ht="15" hidden="false" customHeight="false" outlineLevel="0" collapsed="false">
      <c r="A113" s="25"/>
      <c r="E113" s="26"/>
      <c r="F113" s="27" t="str">
        <f aca="false">IF(B113="","",IFERROR(INDEX(Pessoas!$E:$E,MATCH(B113,Pessoas!$A:$A,0)),0))</f>
        <v/>
      </c>
      <c r="G113" s="27" t="str">
        <f aca="false">IF(E113="","",E113/60*F113)</f>
        <v/>
      </c>
    </row>
    <row r="114" customFormat="false" ht="15" hidden="false" customHeight="false" outlineLevel="0" collapsed="false">
      <c r="A114" s="25"/>
      <c r="E114" s="26"/>
      <c r="F114" s="27" t="str">
        <f aca="false">IF(B114="","",IFERROR(INDEX(Pessoas!$E:$E,MATCH(B114,Pessoas!$A:$A,0)),0))</f>
        <v/>
      </c>
      <c r="G114" s="27" t="str">
        <f aca="false">IF(E114="","",E114/60*F114)</f>
        <v/>
      </c>
    </row>
    <row r="115" customFormat="false" ht="15" hidden="false" customHeight="false" outlineLevel="0" collapsed="false">
      <c r="A115" s="25"/>
      <c r="E115" s="26"/>
      <c r="F115" s="27" t="str">
        <f aca="false">IF(B115="","",IFERROR(INDEX(Pessoas!$E:$E,MATCH(B115,Pessoas!$A:$A,0)),0))</f>
        <v/>
      </c>
      <c r="G115" s="27" t="str">
        <f aca="false">IF(E115="","",E115/60*F115)</f>
        <v/>
      </c>
    </row>
    <row r="116" customFormat="false" ht="15" hidden="false" customHeight="false" outlineLevel="0" collapsed="false">
      <c r="A116" s="25"/>
      <c r="E116" s="26"/>
      <c r="F116" s="27" t="str">
        <f aca="false">IF(B116="","",IFERROR(INDEX(Pessoas!$E:$E,MATCH(B116,Pessoas!$A:$A,0)),0))</f>
        <v/>
      </c>
      <c r="G116" s="27" t="str">
        <f aca="false">IF(E116="","",E116/60*F116)</f>
        <v/>
      </c>
    </row>
    <row r="117" customFormat="false" ht="15" hidden="false" customHeight="false" outlineLevel="0" collapsed="false">
      <c r="A117" s="25"/>
      <c r="E117" s="26"/>
      <c r="F117" s="27" t="str">
        <f aca="false">IF(B117="","",IFERROR(INDEX(Pessoas!$E:$E,MATCH(B117,Pessoas!$A:$A,0)),0))</f>
        <v/>
      </c>
      <c r="G117" s="27" t="str">
        <f aca="false">IF(E117="","",E117/60*F117)</f>
        <v/>
      </c>
    </row>
    <row r="118" customFormat="false" ht="15" hidden="false" customHeight="false" outlineLevel="0" collapsed="false">
      <c r="A118" s="25"/>
      <c r="E118" s="26"/>
      <c r="F118" s="27" t="str">
        <f aca="false">IF(B118="","",IFERROR(INDEX(Pessoas!$E:$E,MATCH(B118,Pessoas!$A:$A,0)),0))</f>
        <v/>
      </c>
      <c r="G118" s="27" t="str">
        <f aca="false">IF(E118="","",E118/60*F118)</f>
        <v/>
      </c>
    </row>
    <row r="119" customFormat="false" ht="15" hidden="false" customHeight="false" outlineLevel="0" collapsed="false">
      <c r="A119" s="25"/>
      <c r="E119" s="26"/>
      <c r="F119" s="27" t="str">
        <f aca="false">IF(B119="","",IFERROR(INDEX(Pessoas!$E:$E,MATCH(B119,Pessoas!$A:$A,0)),0))</f>
        <v/>
      </c>
      <c r="G119" s="27" t="str">
        <f aca="false">IF(E119="","",E119/60*F119)</f>
        <v/>
      </c>
    </row>
    <row r="120" customFormat="false" ht="15" hidden="false" customHeight="false" outlineLevel="0" collapsed="false">
      <c r="A120" s="25"/>
      <c r="E120" s="26"/>
      <c r="F120" s="27" t="str">
        <f aca="false">IF(B120="","",IFERROR(INDEX(Pessoas!$E:$E,MATCH(B120,Pessoas!$A:$A,0)),0))</f>
        <v/>
      </c>
      <c r="G120" s="27" t="str">
        <f aca="false">IF(E120="","",E120/60*F120)</f>
        <v/>
      </c>
    </row>
    <row r="121" customFormat="false" ht="15" hidden="false" customHeight="false" outlineLevel="0" collapsed="false">
      <c r="A121" s="25"/>
      <c r="E121" s="26"/>
      <c r="F121" s="27" t="str">
        <f aca="false">IF(B121="","",IFERROR(INDEX(Pessoas!$E:$E,MATCH(B121,Pessoas!$A:$A,0)),0))</f>
        <v/>
      </c>
      <c r="G121" s="27" t="str">
        <f aca="false">IF(E121="","",E121/60*F121)</f>
        <v/>
      </c>
    </row>
    <row r="122" customFormat="false" ht="15" hidden="false" customHeight="false" outlineLevel="0" collapsed="false">
      <c r="A122" s="25"/>
      <c r="E122" s="26"/>
      <c r="F122" s="27" t="str">
        <f aca="false">IF(B122="","",IFERROR(INDEX(Pessoas!$E:$E,MATCH(B122,Pessoas!$A:$A,0)),0))</f>
        <v/>
      </c>
      <c r="G122" s="27" t="str">
        <f aca="false">IF(E122="","",E122/60*F122)</f>
        <v/>
      </c>
    </row>
    <row r="123" customFormat="false" ht="15" hidden="false" customHeight="false" outlineLevel="0" collapsed="false">
      <c r="A123" s="25"/>
      <c r="E123" s="26"/>
      <c r="F123" s="27" t="str">
        <f aca="false">IF(B123="","",IFERROR(INDEX(Pessoas!$E:$E,MATCH(B123,Pessoas!$A:$A,0)),0))</f>
        <v/>
      </c>
      <c r="G123" s="27" t="str">
        <f aca="false">IF(E123="","",E123/60*F123)</f>
        <v/>
      </c>
    </row>
    <row r="124" customFormat="false" ht="15" hidden="false" customHeight="false" outlineLevel="0" collapsed="false">
      <c r="A124" s="25"/>
      <c r="E124" s="26"/>
      <c r="F124" s="27" t="str">
        <f aca="false">IF(B124="","",IFERROR(INDEX(Pessoas!$E:$E,MATCH(B124,Pessoas!$A:$A,0)),0))</f>
        <v/>
      </c>
      <c r="G124" s="27" t="str">
        <f aca="false">IF(E124="","",E124/60*F124)</f>
        <v/>
      </c>
    </row>
    <row r="125" customFormat="false" ht="15" hidden="false" customHeight="false" outlineLevel="0" collapsed="false">
      <c r="A125" s="25"/>
      <c r="E125" s="26"/>
      <c r="F125" s="27" t="str">
        <f aca="false">IF(B125="","",IFERROR(INDEX(Pessoas!$E:$E,MATCH(B125,Pessoas!$A:$A,0)),0))</f>
        <v/>
      </c>
      <c r="G125" s="27" t="str">
        <f aca="false">IF(E125="","",E125/60*F125)</f>
        <v/>
      </c>
    </row>
    <row r="126" customFormat="false" ht="15" hidden="false" customHeight="false" outlineLevel="0" collapsed="false">
      <c r="A126" s="25"/>
      <c r="E126" s="26"/>
      <c r="F126" s="27" t="str">
        <f aca="false">IF(B126="","",IFERROR(INDEX(Pessoas!$E:$E,MATCH(B126,Pessoas!$A:$A,0)),0))</f>
        <v/>
      </c>
      <c r="G126" s="27" t="str">
        <f aca="false">IF(E126="","",E126/60*F126)</f>
        <v/>
      </c>
    </row>
    <row r="127" customFormat="false" ht="15" hidden="false" customHeight="false" outlineLevel="0" collapsed="false">
      <c r="A127" s="25"/>
      <c r="E127" s="26"/>
      <c r="F127" s="27" t="str">
        <f aca="false">IF(B127="","",IFERROR(INDEX(Pessoas!$E:$E,MATCH(B127,Pessoas!$A:$A,0)),0))</f>
        <v/>
      </c>
      <c r="G127" s="27" t="str">
        <f aca="false">IF(E127="","",E127/60*F127)</f>
        <v/>
      </c>
    </row>
    <row r="128" customFormat="false" ht="15" hidden="false" customHeight="false" outlineLevel="0" collapsed="false">
      <c r="A128" s="25"/>
      <c r="E128" s="26"/>
      <c r="F128" s="27" t="str">
        <f aca="false">IF(B128="","",IFERROR(INDEX(Pessoas!$E:$E,MATCH(B128,Pessoas!$A:$A,0)),0))</f>
        <v/>
      </c>
      <c r="G128" s="27" t="str">
        <f aca="false">IF(E128="","",E128/60*F128)</f>
        <v/>
      </c>
    </row>
    <row r="129" customFormat="false" ht="15" hidden="false" customHeight="false" outlineLevel="0" collapsed="false">
      <c r="A129" s="25"/>
      <c r="E129" s="26"/>
      <c r="F129" s="27" t="str">
        <f aca="false">IF(B129="","",IFERROR(INDEX(Pessoas!$E:$E,MATCH(B129,Pessoas!$A:$A,0)),0))</f>
        <v/>
      </c>
      <c r="G129" s="27" t="str">
        <f aca="false">IF(E129="","",E129/60*F129)</f>
        <v/>
      </c>
    </row>
    <row r="130" customFormat="false" ht="15" hidden="false" customHeight="false" outlineLevel="0" collapsed="false">
      <c r="A130" s="25"/>
      <c r="E130" s="26"/>
      <c r="F130" s="27" t="str">
        <f aca="false">IF(B130="","",IFERROR(INDEX(Pessoas!$E:$E,MATCH(B130,Pessoas!$A:$A,0)),0))</f>
        <v/>
      </c>
      <c r="G130" s="27" t="str">
        <f aca="false">IF(E130="","",E130/60*F130)</f>
        <v/>
      </c>
    </row>
    <row r="131" customFormat="false" ht="15" hidden="false" customHeight="false" outlineLevel="0" collapsed="false">
      <c r="A131" s="25"/>
      <c r="E131" s="26"/>
      <c r="F131" s="27" t="str">
        <f aca="false">IF(B131="","",IFERROR(INDEX(Pessoas!$E:$E,MATCH(B131,Pessoas!$A:$A,0)),0))</f>
        <v/>
      </c>
      <c r="G131" s="27" t="str">
        <f aca="false">IF(E131="","",E131/60*F131)</f>
        <v/>
      </c>
    </row>
    <row r="132" customFormat="false" ht="15" hidden="false" customHeight="false" outlineLevel="0" collapsed="false">
      <c r="A132" s="25"/>
      <c r="E132" s="26"/>
      <c r="F132" s="27" t="str">
        <f aca="false">IF(B132="","",IFERROR(INDEX(Pessoas!$E:$E,MATCH(B132,Pessoas!$A:$A,0)),0))</f>
        <v/>
      </c>
      <c r="G132" s="27" t="str">
        <f aca="false">IF(E132="","",E132/60*F132)</f>
        <v/>
      </c>
    </row>
    <row r="133" customFormat="false" ht="15" hidden="false" customHeight="false" outlineLevel="0" collapsed="false">
      <c r="A133" s="25"/>
      <c r="E133" s="26"/>
      <c r="F133" s="27" t="str">
        <f aca="false">IF(B133="","",IFERROR(INDEX(Pessoas!$E:$E,MATCH(B133,Pessoas!$A:$A,0)),0))</f>
        <v/>
      </c>
      <c r="G133" s="27" t="str">
        <f aca="false">IF(E133="","",E133/60*F133)</f>
        <v/>
      </c>
    </row>
    <row r="134" customFormat="false" ht="15" hidden="false" customHeight="false" outlineLevel="0" collapsed="false">
      <c r="A134" s="25"/>
      <c r="E134" s="26"/>
      <c r="F134" s="27" t="str">
        <f aca="false">IF(B134="","",IFERROR(INDEX(Pessoas!$E:$E,MATCH(B134,Pessoas!$A:$A,0)),0))</f>
        <v/>
      </c>
      <c r="G134" s="27" t="str">
        <f aca="false">IF(E134="","",E134/60*F134)</f>
        <v/>
      </c>
    </row>
    <row r="135" customFormat="false" ht="15" hidden="false" customHeight="false" outlineLevel="0" collapsed="false">
      <c r="A135" s="25"/>
      <c r="E135" s="26"/>
      <c r="F135" s="27" t="str">
        <f aca="false">IF(B135="","",IFERROR(INDEX(Pessoas!$E:$E,MATCH(B135,Pessoas!$A:$A,0)),0))</f>
        <v/>
      </c>
      <c r="G135" s="27" t="str">
        <f aca="false">IF(E135="","",E135/60*F135)</f>
        <v/>
      </c>
    </row>
    <row r="136" customFormat="false" ht="15" hidden="false" customHeight="false" outlineLevel="0" collapsed="false">
      <c r="A136" s="25"/>
      <c r="E136" s="26"/>
      <c r="F136" s="27" t="str">
        <f aca="false">IF(B136="","",IFERROR(INDEX(Pessoas!$E:$E,MATCH(B136,Pessoas!$A:$A,0)),0))</f>
        <v/>
      </c>
      <c r="G136" s="27" t="str">
        <f aca="false">IF(E136="","",E136/60*F136)</f>
        <v/>
      </c>
    </row>
    <row r="137" customFormat="false" ht="15" hidden="false" customHeight="false" outlineLevel="0" collapsed="false">
      <c r="A137" s="25"/>
      <c r="E137" s="26"/>
      <c r="F137" s="27" t="str">
        <f aca="false">IF(B137="","",IFERROR(INDEX(Pessoas!$E:$E,MATCH(B137,Pessoas!$A:$A,0)),0))</f>
        <v/>
      </c>
      <c r="G137" s="27" t="str">
        <f aca="false">IF(E137="","",E137/60*F137)</f>
        <v/>
      </c>
    </row>
    <row r="138" customFormat="false" ht="15" hidden="false" customHeight="false" outlineLevel="0" collapsed="false">
      <c r="A138" s="25"/>
      <c r="E138" s="26"/>
      <c r="F138" s="27" t="str">
        <f aca="false">IF(B138="","",IFERROR(INDEX(Pessoas!$E:$E,MATCH(B138,Pessoas!$A:$A,0)),0))</f>
        <v/>
      </c>
      <c r="G138" s="27" t="str">
        <f aca="false">IF(E138="","",E138/60*F138)</f>
        <v/>
      </c>
    </row>
    <row r="139" customFormat="false" ht="15" hidden="false" customHeight="false" outlineLevel="0" collapsed="false">
      <c r="A139" s="25"/>
      <c r="E139" s="26"/>
      <c r="F139" s="27" t="str">
        <f aca="false">IF(B139="","",IFERROR(INDEX(Pessoas!$E:$E,MATCH(B139,Pessoas!$A:$A,0)),0))</f>
        <v/>
      </c>
      <c r="G139" s="27" t="str">
        <f aca="false">IF(E139="","",E139/60*F139)</f>
        <v/>
      </c>
    </row>
    <row r="140" customFormat="false" ht="15" hidden="false" customHeight="false" outlineLevel="0" collapsed="false">
      <c r="A140" s="25"/>
      <c r="E140" s="26"/>
      <c r="F140" s="27" t="str">
        <f aca="false">IF(B140="","",IFERROR(INDEX(Pessoas!$E:$E,MATCH(B140,Pessoas!$A:$A,0)),0))</f>
        <v/>
      </c>
      <c r="G140" s="27" t="str">
        <f aca="false">IF(E140="","",E140/60*F140)</f>
        <v/>
      </c>
    </row>
    <row r="141" customFormat="false" ht="15" hidden="false" customHeight="false" outlineLevel="0" collapsed="false">
      <c r="A141" s="25"/>
      <c r="E141" s="26"/>
      <c r="F141" s="27" t="str">
        <f aca="false">IF(B141="","",IFERROR(INDEX(Pessoas!$E:$E,MATCH(B141,Pessoas!$A:$A,0)),0))</f>
        <v/>
      </c>
      <c r="G141" s="27" t="str">
        <f aca="false">IF(E141="","",E141/60*F141)</f>
        <v/>
      </c>
    </row>
    <row r="142" customFormat="false" ht="15" hidden="false" customHeight="false" outlineLevel="0" collapsed="false">
      <c r="A142" s="25"/>
      <c r="E142" s="26"/>
      <c r="F142" s="27" t="str">
        <f aca="false">IF(B142="","",IFERROR(INDEX(Pessoas!$E:$E,MATCH(B142,Pessoas!$A:$A,0)),0))</f>
        <v/>
      </c>
      <c r="G142" s="27" t="str">
        <f aca="false">IF(E142="","",E142/60*F142)</f>
        <v/>
      </c>
    </row>
    <row r="143" customFormat="false" ht="15" hidden="false" customHeight="false" outlineLevel="0" collapsed="false">
      <c r="A143" s="25"/>
      <c r="E143" s="26"/>
      <c r="F143" s="27" t="str">
        <f aca="false">IF(B143="","",IFERROR(INDEX(Pessoas!$E:$E,MATCH(B143,Pessoas!$A:$A,0)),0))</f>
        <v/>
      </c>
      <c r="G143" s="27" t="str">
        <f aca="false">IF(E143="","",E143/60*F143)</f>
        <v/>
      </c>
    </row>
    <row r="144" customFormat="false" ht="15" hidden="false" customHeight="false" outlineLevel="0" collapsed="false">
      <c r="A144" s="25"/>
      <c r="E144" s="26"/>
      <c r="F144" s="27" t="str">
        <f aca="false">IF(B144="","",IFERROR(INDEX(Pessoas!$E:$E,MATCH(B144,Pessoas!$A:$A,0)),0))</f>
        <v/>
      </c>
      <c r="G144" s="27" t="str">
        <f aca="false">IF(E144="","",E144/60*F144)</f>
        <v/>
      </c>
    </row>
    <row r="145" customFormat="false" ht="15" hidden="false" customHeight="false" outlineLevel="0" collapsed="false">
      <c r="A145" s="25"/>
      <c r="E145" s="26"/>
      <c r="F145" s="27" t="str">
        <f aca="false">IF(B145="","",IFERROR(INDEX(Pessoas!$E:$E,MATCH(B145,Pessoas!$A:$A,0)),0))</f>
        <v/>
      </c>
      <c r="G145" s="27" t="str">
        <f aca="false">IF(E145="","",E145/60*F145)</f>
        <v/>
      </c>
    </row>
    <row r="146" customFormat="false" ht="15" hidden="false" customHeight="false" outlineLevel="0" collapsed="false">
      <c r="A146" s="25"/>
      <c r="E146" s="26"/>
      <c r="F146" s="27" t="str">
        <f aca="false">IF(B146="","",IFERROR(INDEX(Pessoas!$E:$E,MATCH(B146,Pessoas!$A:$A,0)),0))</f>
        <v/>
      </c>
      <c r="G146" s="27" t="str">
        <f aca="false">IF(E146="","",E146/60*F146)</f>
        <v/>
      </c>
    </row>
    <row r="147" customFormat="false" ht="15" hidden="false" customHeight="false" outlineLevel="0" collapsed="false">
      <c r="A147" s="25"/>
      <c r="E147" s="26"/>
      <c r="F147" s="27" t="str">
        <f aca="false">IF(B147="","",IFERROR(INDEX(Pessoas!$E:$E,MATCH(B147,Pessoas!$A:$A,0)),0))</f>
        <v/>
      </c>
      <c r="G147" s="27" t="str">
        <f aca="false">IF(E147="","",E147/60*F147)</f>
        <v/>
      </c>
    </row>
    <row r="148" customFormat="false" ht="15" hidden="false" customHeight="false" outlineLevel="0" collapsed="false">
      <c r="A148" s="25"/>
      <c r="E148" s="26"/>
      <c r="F148" s="27" t="str">
        <f aca="false">IF(B148="","",IFERROR(INDEX(Pessoas!$E:$E,MATCH(B148,Pessoas!$A:$A,0)),0))</f>
        <v/>
      </c>
      <c r="G148" s="27" t="str">
        <f aca="false">IF(E148="","",E148/60*F148)</f>
        <v/>
      </c>
    </row>
    <row r="149" customFormat="false" ht="15" hidden="false" customHeight="false" outlineLevel="0" collapsed="false">
      <c r="A149" s="25"/>
      <c r="E149" s="26"/>
      <c r="F149" s="27" t="str">
        <f aca="false">IF(B149="","",IFERROR(INDEX(Pessoas!$E:$E,MATCH(B149,Pessoas!$A:$A,0)),0))</f>
        <v/>
      </c>
      <c r="G149" s="27" t="str">
        <f aca="false">IF(E149="","",E149/60*F149)</f>
        <v/>
      </c>
    </row>
    <row r="150" customFormat="false" ht="15" hidden="false" customHeight="false" outlineLevel="0" collapsed="false">
      <c r="A150" s="25"/>
      <c r="E150" s="26"/>
      <c r="F150" s="27" t="str">
        <f aca="false">IF(B150="","",IFERROR(INDEX(Pessoas!$E:$E,MATCH(B150,Pessoas!$A:$A,0)),0))</f>
        <v/>
      </c>
      <c r="G150" s="27" t="str">
        <f aca="false">IF(E150="","",E150/60*F150)</f>
        <v/>
      </c>
    </row>
    <row r="151" customFormat="false" ht="15" hidden="false" customHeight="false" outlineLevel="0" collapsed="false">
      <c r="A151" s="25"/>
      <c r="E151" s="26"/>
      <c r="F151" s="27" t="str">
        <f aca="false">IF(B151="","",IFERROR(INDEX(Pessoas!$E:$E,MATCH(B151,Pessoas!$A:$A,0)),0))</f>
        <v/>
      </c>
      <c r="G151" s="27" t="str">
        <f aca="false">IF(E151="","",E151/60*F151)</f>
        <v/>
      </c>
    </row>
    <row r="152" customFormat="false" ht="15" hidden="false" customHeight="false" outlineLevel="0" collapsed="false">
      <c r="A152" s="25"/>
      <c r="E152" s="26"/>
      <c r="F152" s="27" t="str">
        <f aca="false">IF(B152="","",IFERROR(INDEX(Pessoas!$E:$E,MATCH(B152,Pessoas!$A:$A,0)),0))</f>
        <v/>
      </c>
      <c r="G152" s="27" t="str">
        <f aca="false">IF(E152="","",E152/60*F152)</f>
        <v/>
      </c>
    </row>
    <row r="153" customFormat="false" ht="15" hidden="false" customHeight="false" outlineLevel="0" collapsed="false">
      <c r="A153" s="25"/>
      <c r="E153" s="26"/>
      <c r="F153" s="27" t="str">
        <f aca="false">IF(B153="","",IFERROR(INDEX(Pessoas!$E:$E,MATCH(B153,Pessoas!$A:$A,0)),0))</f>
        <v/>
      </c>
      <c r="G153" s="27" t="str">
        <f aca="false">IF(E153="","",E153/60*F153)</f>
        <v/>
      </c>
    </row>
    <row r="154" customFormat="false" ht="15" hidden="false" customHeight="false" outlineLevel="0" collapsed="false">
      <c r="A154" s="25"/>
      <c r="E154" s="26"/>
      <c r="F154" s="27" t="str">
        <f aca="false">IF(B154="","",IFERROR(INDEX(Pessoas!$E:$E,MATCH(B154,Pessoas!$A:$A,0)),0))</f>
        <v/>
      </c>
      <c r="G154" s="27" t="str">
        <f aca="false">IF(E154="","",E154/60*F154)</f>
        <v/>
      </c>
    </row>
    <row r="155" customFormat="false" ht="15" hidden="false" customHeight="false" outlineLevel="0" collapsed="false">
      <c r="A155" s="25"/>
      <c r="E155" s="26"/>
      <c r="F155" s="27" t="str">
        <f aca="false">IF(B155="","",IFERROR(INDEX(Pessoas!$E:$E,MATCH(B155,Pessoas!$A:$A,0)),0))</f>
        <v/>
      </c>
      <c r="G155" s="27" t="str">
        <f aca="false">IF(E155="","",E155/60*F155)</f>
        <v/>
      </c>
    </row>
    <row r="156" customFormat="false" ht="15" hidden="false" customHeight="false" outlineLevel="0" collapsed="false">
      <c r="A156" s="25"/>
      <c r="E156" s="26"/>
      <c r="F156" s="27" t="str">
        <f aca="false">IF(B156="","",IFERROR(INDEX(Pessoas!$E:$E,MATCH(B156,Pessoas!$A:$A,0)),0))</f>
        <v/>
      </c>
      <c r="G156" s="27" t="str">
        <f aca="false">IF(E156="","",E156/60*F156)</f>
        <v/>
      </c>
    </row>
    <row r="157" customFormat="false" ht="15" hidden="false" customHeight="false" outlineLevel="0" collapsed="false">
      <c r="A157" s="25"/>
      <c r="E157" s="26"/>
      <c r="F157" s="27" t="str">
        <f aca="false">IF(B157="","",IFERROR(INDEX(Pessoas!$E:$E,MATCH(B157,Pessoas!$A:$A,0)),0))</f>
        <v/>
      </c>
      <c r="G157" s="27" t="str">
        <f aca="false">IF(E157="","",E157/60*F157)</f>
        <v/>
      </c>
    </row>
    <row r="158" customFormat="false" ht="15" hidden="false" customHeight="false" outlineLevel="0" collapsed="false">
      <c r="A158" s="25"/>
      <c r="E158" s="26"/>
      <c r="F158" s="27" t="str">
        <f aca="false">IF(B158="","",IFERROR(INDEX(Pessoas!$E:$E,MATCH(B158,Pessoas!$A:$A,0)),0))</f>
        <v/>
      </c>
      <c r="G158" s="27" t="str">
        <f aca="false">IF(E158="","",E158/60*F158)</f>
        <v/>
      </c>
    </row>
    <row r="159" customFormat="false" ht="15" hidden="false" customHeight="false" outlineLevel="0" collapsed="false">
      <c r="A159" s="25"/>
      <c r="E159" s="26"/>
      <c r="F159" s="27" t="str">
        <f aca="false">IF(B159="","",IFERROR(INDEX(Pessoas!$E:$E,MATCH(B159,Pessoas!$A:$A,0)),0))</f>
        <v/>
      </c>
      <c r="G159" s="27" t="str">
        <f aca="false">IF(E159="","",E159/60*F159)</f>
        <v/>
      </c>
    </row>
    <row r="160" customFormat="false" ht="15" hidden="false" customHeight="false" outlineLevel="0" collapsed="false">
      <c r="A160" s="25"/>
      <c r="E160" s="26"/>
      <c r="F160" s="27" t="str">
        <f aca="false">IF(B160="","",IFERROR(INDEX(Pessoas!$E:$E,MATCH(B160,Pessoas!$A:$A,0)),0))</f>
        <v/>
      </c>
      <c r="G160" s="27" t="str">
        <f aca="false">IF(E160="","",E160/60*F160)</f>
        <v/>
      </c>
    </row>
    <row r="161" customFormat="false" ht="15" hidden="false" customHeight="false" outlineLevel="0" collapsed="false">
      <c r="A161" s="25"/>
      <c r="E161" s="26"/>
      <c r="F161" s="27" t="str">
        <f aca="false">IF(B161="","",IFERROR(INDEX(Pessoas!$E:$E,MATCH(B161,Pessoas!$A:$A,0)),0))</f>
        <v/>
      </c>
      <c r="G161" s="27" t="str">
        <f aca="false">IF(E161="","",E161/60*F161)</f>
        <v/>
      </c>
    </row>
    <row r="162" customFormat="false" ht="15" hidden="false" customHeight="false" outlineLevel="0" collapsed="false">
      <c r="A162" s="25"/>
      <c r="E162" s="26"/>
      <c r="F162" s="27" t="str">
        <f aca="false">IF(B162="","",IFERROR(INDEX(Pessoas!$E:$E,MATCH(B162,Pessoas!$A:$A,0)),0))</f>
        <v/>
      </c>
      <c r="G162" s="27" t="str">
        <f aca="false">IF(E162="","",E162/60*F162)</f>
        <v/>
      </c>
    </row>
    <row r="163" customFormat="false" ht="15" hidden="false" customHeight="false" outlineLevel="0" collapsed="false">
      <c r="A163" s="25"/>
      <c r="E163" s="26"/>
      <c r="F163" s="27" t="str">
        <f aca="false">IF(B163="","",IFERROR(INDEX(Pessoas!$E:$E,MATCH(B163,Pessoas!$A:$A,0)),0))</f>
        <v/>
      </c>
      <c r="G163" s="27" t="str">
        <f aca="false">IF(E163="","",E163/60*F163)</f>
        <v/>
      </c>
    </row>
    <row r="164" customFormat="false" ht="15" hidden="false" customHeight="false" outlineLevel="0" collapsed="false">
      <c r="A164" s="25"/>
      <c r="E164" s="26"/>
      <c r="F164" s="27" t="str">
        <f aca="false">IF(B164="","",IFERROR(INDEX(Pessoas!$E:$E,MATCH(B164,Pessoas!$A:$A,0)),0))</f>
        <v/>
      </c>
      <c r="G164" s="27" t="str">
        <f aca="false">IF(E164="","",E164/60*F164)</f>
        <v/>
      </c>
    </row>
    <row r="165" customFormat="false" ht="15" hidden="false" customHeight="false" outlineLevel="0" collapsed="false">
      <c r="A165" s="25"/>
      <c r="E165" s="26"/>
      <c r="F165" s="27" t="str">
        <f aca="false">IF(B165="","",IFERROR(INDEX(Pessoas!$E:$E,MATCH(B165,Pessoas!$A:$A,0)),0))</f>
        <v/>
      </c>
      <c r="G165" s="27" t="str">
        <f aca="false">IF(E165="","",E165/60*F165)</f>
        <v/>
      </c>
    </row>
    <row r="166" customFormat="false" ht="15" hidden="false" customHeight="false" outlineLevel="0" collapsed="false">
      <c r="A166" s="25"/>
      <c r="E166" s="26"/>
      <c r="F166" s="27" t="str">
        <f aca="false">IF(B166="","",IFERROR(INDEX(Pessoas!$E:$E,MATCH(B166,Pessoas!$A:$A,0)),0))</f>
        <v/>
      </c>
      <c r="G166" s="27" t="str">
        <f aca="false">IF(E166="","",E166/60*F166)</f>
        <v/>
      </c>
    </row>
    <row r="167" customFormat="false" ht="15" hidden="false" customHeight="false" outlineLevel="0" collapsed="false">
      <c r="A167" s="25"/>
      <c r="E167" s="26"/>
      <c r="F167" s="27" t="str">
        <f aca="false">IF(B167="","",IFERROR(INDEX(Pessoas!$E:$E,MATCH(B167,Pessoas!$A:$A,0)),0))</f>
        <v/>
      </c>
      <c r="G167" s="27" t="str">
        <f aca="false">IF(E167="","",E167/60*F167)</f>
        <v/>
      </c>
    </row>
    <row r="168" customFormat="false" ht="15" hidden="false" customHeight="false" outlineLevel="0" collapsed="false">
      <c r="A168" s="25"/>
      <c r="E168" s="26"/>
      <c r="F168" s="27" t="str">
        <f aca="false">IF(B168="","",IFERROR(INDEX(Pessoas!$E:$E,MATCH(B168,Pessoas!$A:$A,0)),0))</f>
        <v/>
      </c>
      <c r="G168" s="27" t="str">
        <f aca="false">IF(E168="","",E168/60*F168)</f>
        <v/>
      </c>
    </row>
    <row r="169" customFormat="false" ht="15" hidden="false" customHeight="false" outlineLevel="0" collapsed="false">
      <c r="A169" s="25"/>
      <c r="E169" s="26"/>
      <c r="F169" s="27" t="str">
        <f aca="false">IF(B169="","",IFERROR(INDEX(Pessoas!$E:$E,MATCH(B169,Pessoas!$A:$A,0)),0))</f>
        <v/>
      </c>
      <c r="G169" s="27" t="str">
        <f aca="false">IF(E169="","",E169/60*F169)</f>
        <v/>
      </c>
    </row>
    <row r="170" customFormat="false" ht="15" hidden="false" customHeight="false" outlineLevel="0" collapsed="false">
      <c r="A170" s="25"/>
      <c r="E170" s="26"/>
      <c r="F170" s="27" t="str">
        <f aca="false">IF(B170="","",IFERROR(INDEX(Pessoas!$E:$E,MATCH(B170,Pessoas!$A:$A,0)),0))</f>
        <v/>
      </c>
      <c r="G170" s="27" t="str">
        <f aca="false">IF(E170="","",E170/60*F170)</f>
        <v/>
      </c>
    </row>
    <row r="171" customFormat="false" ht="15" hidden="false" customHeight="false" outlineLevel="0" collapsed="false">
      <c r="A171" s="25"/>
      <c r="E171" s="26"/>
      <c r="F171" s="27" t="str">
        <f aca="false">IF(B171="","",IFERROR(INDEX(Pessoas!$E:$E,MATCH(B171,Pessoas!$A:$A,0)),0))</f>
        <v/>
      </c>
      <c r="G171" s="27" t="str">
        <f aca="false">IF(E171="","",E171/60*F171)</f>
        <v/>
      </c>
    </row>
    <row r="172" customFormat="false" ht="15" hidden="false" customHeight="false" outlineLevel="0" collapsed="false">
      <c r="A172" s="25"/>
      <c r="E172" s="26"/>
      <c r="F172" s="27" t="str">
        <f aca="false">IF(B172="","",IFERROR(INDEX(Pessoas!$E:$E,MATCH(B172,Pessoas!$A:$A,0)),0))</f>
        <v/>
      </c>
      <c r="G172" s="27" t="str">
        <f aca="false">IF(E172="","",E172/60*F172)</f>
        <v/>
      </c>
    </row>
    <row r="173" customFormat="false" ht="15" hidden="false" customHeight="false" outlineLevel="0" collapsed="false">
      <c r="A173" s="25"/>
      <c r="E173" s="26"/>
      <c r="F173" s="27" t="str">
        <f aca="false">IF(B173="","",IFERROR(INDEX(Pessoas!$E:$E,MATCH(B173,Pessoas!$A:$A,0)),0))</f>
        <v/>
      </c>
      <c r="G173" s="27" t="str">
        <f aca="false">IF(E173="","",E173/60*F173)</f>
        <v/>
      </c>
    </row>
    <row r="174" customFormat="false" ht="15" hidden="false" customHeight="false" outlineLevel="0" collapsed="false">
      <c r="A174" s="25"/>
      <c r="E174" s="26"/>
      <c r="F174" s="27" t="str">
        <f aca="false">IF(B174="","",IFERROR(INDEX(Pessoas!$E:$E,MATCH(B174,Pessoas!$A:$A,0)),0))</f>
        <v/>
      </c>
      <c r="G174" s="27" t="str">
        <f aca="false">IF(E174="","",E174/60*F174)</f>
        <v/>
      </c>
    </row>
    <row r="175" customFormat="false" ht="15" hidden="false" customHeight="false" outlineLevel="0" collapsed="false">
      <c r="A175" s="25"/>
      <c r="E175" s="26"/>
      <c r="F175" s="27" t="str">
        <f aca="false">IF(B175="","",IFERROR(INDEX(Pessoas!$E:$E,MATCH(B175,Pessoas!$A:$A,0)),0))</f>
        <v/>
      </c>
      <c r="G175" s="27" t="str">
        <f aca="false">IF(E175="","",E175/60*F175)</f>
        <v/>
      </c>
    </row>
    <row r="176" customFormat="false" ht="15" hidden="false" customHeight="false" outlineLevel="0" collapsed="false">
      <c r="A176" s="25"/>
      <c r="E176" s="26"/>
      <c r="F176" s="27" t="str">
        <f aca="false">IF(B176="","",IFERROR(INDEX(Pessoas!$E:$E,MATCH(B176,Pessoas!$A:$A,0)),0))</f>
        <v/>
      </c>
      <c r="G176" s="27" t="str">
        <f aca="false">IF(E176="","",E176/60*F176)</f>
        <v/>
      </c>
    </row>
    <row r="177" customFormat="false" ht="15" hidden="false" customHeight="false" outlineLevel="0" collapsed="false">
      <c r="A177" s="25"/>
      <c r="E177" s="26"/>
      <c r="F177" s="27" t="str">
        <f aca="false">IF(B177="","",IFERROR(INDEX(Pessoas!$E:$E,MATCH(B177,Pessoas!$A:$A,0)),0))</f>
        <v/>
      </c>
      <c r="G177" s="27" t="str">
        <f aca="false">IF(E177="","",E177/60*F177)</f>
        <v/>
      </c>
    </row>
    <row r="178" customFormat="false" ht="15" hidden="false" customHeight="false" outlineLevel="0" collapsed="false">
      <c r="A178" s="25"/>
      <c r="E178" s="26"/>
      <c r="F178" s="27" t="str">
        <f aca="false">IF(B178="","",IFERROR(INDEX(Pessoas!$E:$E,MATCH(B178,Pessoas!$A:$A,0)),0))</f>
        <v/>
      </c>
      <c r="G178" s="27" t="str">
        <f aca="false">IF(E178="","",E178/60*F178)</f>
        <v/>
      </c>
    </row>
    <row r="179" customFormat="false" ht="15" hidden="false" customHeight="false" outlineLevel="0" collapsed="false">
      <c r="A179" s="25"/>
      <c r="E179" s="26"/>
      <c r="F179" s="27" t="str">
        <f aca="false">IF(B179="","",IFERROR(INDEX(Pessoas!$E:$E,MATCH(B179,Pessoas!$A:$A,0)),0))</f>
        <v/>
      </c>
      <c r="G179" s="27" t="str">
        <f aca="false">IF(E179="","",E179/60*F179)</f>
        <v/>
      </c>
    </row>
    <row r="180" customFormat="false" ht="15" hidden="false" customHeight="false" outlineLevel="0" collapsed="false">
      <c r="A180" s="25"/>
      <c r="E180" s="26"/>
      <c r="F180" s="27" t="str">
        <f aca="false">IF(B180="","",IFERROR(INDEX(Pessoas!$E:$E,MATCH(B180,Pessoas!$A:$A,0)),0))</f>
        <v/>
      </c>
      <c r="G180" s="27" t="str">
        <f aca="false">IF(E180="","",E180/60*F180)</f>
        <v/>
      </c>
    </row>
    <row r="181" customFormat="false" ht="15" hidden="false" customHeight="false" outlineLevel="0" collapsed="false">
      <c r="A181" s="25"/>
      <c r="E181" s="26"/>
      <c r="F181" s="27" t="str">
        <f aca="false">IF(B181="","",IFERROR(INDEX(Pessoas!$E:$E,MATCH(B181,Pessoas!$A:$A,0)),0))</f>
        <v/>
      </c>
      <c r="G181" s="27" t="str">
        <f aca="false">IF(E181="","",E181/60*F181)</f>
        <v/>
      </c>
    </row>
    <row r="182" customFormat="false" ht="15" hidden="false" customHeight="false" outlineLevel="0" collapsed="false">
      <c r="A182" s="25"/>
      <c r="E182" s="26"/>
      <c r="F182" s="27" t="str">
        <f aca="false">IF(B182="","",IFERROR(INDEX(Pessoas!$E:$E,MATCH(B182,Pessoas!$A:$A,0)),0))</f>
        <v/>
      </c>
      <c r="G182" s="27" t="str">
        <f aca="false">IF(E182="","",E182/60*F182)</f>
        <v/>
      </c>
    </row>
    <row r="183" customFormat="false" ht="15" hidden="false" customHeight="false" outlineLevel="0" collapsed="false">
      <c r="A183" s="25"/>
      <c r="E183" s="26"/>
      <c r="F183" s="27" t="str">
        <f aca="false">IF(B183="","",IFERROR(INDEX(Pessoas!$E:$E,MATCH(B183,Pessoas!$A:$A,0)),0))</f>
        <v/>
      </c>
      <c r="G183" s="27" t="str">
        <f aca="false">IF(E183="","",E183/60*F183)</f>
        <v/>
      </c>
    </row>
    <row r="184" customFormat="false" ht="15" hidden="false" customHeight="false" outlineLevel="0" collapsed="false">
      <c r="A184" s="25"/>
      <c r="E184" s="26"/>
      <c r="F184" s="27" t="str">
        <f aca="false">IF(B184="","",IFERROR(INDEX(Pessoas!$E:$E,MATCH(B184,Pessoas!$A:$A,0)),0))</f>
        <v/>
      </c>
      <c r="G184" s="27" t="str">
        <f aca="false">IF(E184="","",E184/60*F184)</f>
        <v/>
      </c>
    </row>
    <row r="185" customFormat="false" ht="15" hidden="false" customHeight="false" outlineLevel="0" collapsed="false">
      <c r="A185" s="25"/>
      <c r="E185" s="26"/>
      <c r="F185" s="27" t="str">
        <f aca="false">IF(B185="","",IFERROR(INDEX(Pessoas!$E:$E,MATCH(B185,Pessoas!$A:$A,0)),0))</f>
        <v/>
      </c>
      <c r="G185" s="27" t="str">
        <f aca="false">IF(E185="","",E185/60*F185)</f>
        <v/>
      </c>
    </row>
    <row r="186" customFormat="false" ht="15" hidden="false" customHeight="false" outlineLevel="0" collapsed="false">
      <c r="A186" s="25"/>
      <c r="E186" s="26"/>
      <c r="F186" s="27" t="str">
        <f aca="false">IF(B186="","",IFERROR(INDEX(Pessoas!$E:$E,MATCH(B186,Pessoas!$A:$A,0)),0))</f>
        <v/>
      </c>
      <c r="G186" s="27" t="str">
        <f aca="false">IF(E186="","",E186/60*F186)</f>
        <v/>
      </c>
    </row>
    <row r="187" customFormat="false" ht="15" hidden="false" customHeight="false" outlineLevel="0" collapsed="false">
      <c r="A187" s="25"/>
      <c r="E187" s="26"/>
      <c r="F187" s="27" t="str">
        <f aca="false">IF(B187="","",IFERROR(INDEX(Pessoas!$E:$E,MATCH(B187,Pessoas!$A:$A,0)),0))</f>
        <v/>
      </c>
      <c r="G187" s="27" t="str">
        <f aca="false">IF(E187="","",E187/60*F187)</f>
        <v/>
      </c>
    </row>
    <row r="188" customFormat="false" ht="15" hidden="false" customHeight="false" outlineLevel="0" collapsed="false">
      <c r="A188" s="25"/>
      <c r="E188" s="26"/>
      <c r="F188" s="27" t="str">
        <f aca="false">IF(B188="","",IFERROR(INDEX(Pessoas!$E:$E,MATCH(B188,Pessoas!$A:$A,0)),0))</f>
        <v/>
      </c>
      <c r="G188" s="27" t="str">
        <f aca="false">IF(E188="","",E188/60*F188)</f>
        <v/>
      </c>
    </row>
    <row r="189" customFormat="false" ht="15" hidden="false" customHeight="false" outlineLevel="0" collapsed="false">
      <c r="A189" s="25"/>
      <c r="E189" s="26"/>
      <c r="F189" s="27" t="str">
        <f aca="false">IF(B189="","",IFERROR(INDEX(Pessoas!$E:$E,MATCH(B189,Pessoas!$A:$A,0)),0))</f>
        <v/>
      </c>
      <c r="G189" s="27" t="str">
        <f aca="false">IF(E189="","",E189/60*F189)</f>
        <v/>
      </c>
    </row>
    <row r="190" customFormat="false" ht="15" hidden="false" customHeight="false" outlineLevel="0" collapsed="false">
      <c r="A190" s="25"/>
      <c r="E190" s="26"/>
      <c r="F190" s="27" t="str">
        <f aca="false">IF(B190="","",IFERROR(INDEX(Pessoas!$E:$E,MATCH(B190,Pessoas!$A:$A,0)),0))</f>
        <v/>
      </c>
      <c r="G190" s="27" t="str">
        <f aca="false">IF(E190="","",E190/60*F190)</f>
        <v/>
      </c>
    </row>
    <row r="191" customFormat="false" ht="15" hidden="false" customHeight="false" outlineLevel="0" collapsed="false">
      <c r="A191" s="25"/>
      <c r="E191" s="26"/>
      <c r="F191" s="27" t="str">
        <f aca="false">IF(B191="","",IFERROR(INDEX(Pessoas!$E:$E,MATCH(B191,Pessoas!$A:$A,0)),0))</f>
        <v/>
      </c>
      <c r="G191" s="27" t="str">
        <f aca="false">IF(E191="","",E191/60*F191)</f>
        <v/>
      </c>
    </row>
    <row r="192" customFormat="false" ht="15" hidden="false" customHeight="false" outlineLevel="0" collapsed="false">
      <c r="A192" s="25"/>
      <c r="E192" s="26"/>
      <c r="F192" s="27" t="str">
        <f aca="false">IF(B192="","",IFERROR(INDEX(Pessoas!$E:$E,MATCH(B192,Pessoas!$A:$A,0)),0))</f>
        <v/>
      </c>
      <c r="G192" s="27" t="str">
        <f aca="false">IF(E192="","",E192/60*F192)</f>
        <v/>
      </c>
    </row>
    <row r="193" customFormat="false" ht="15" hidden="false" customHeight="false" outlineLevel="0" collapsed="false">
      <c r="A193" s="25"/>
      <c r="E193" s="26"/>
      <c r="F193" s="27" t="str">
        <f aca="false">IF(B193="","",IFERROR(INDEX(Pessoas!$E:$E,MATCH(B193,Pessoas!$A:$A,0)),0))</f>
        <v/>
      </c>
      <c r="G193" s="27" t="str">
        <f aca="false">IF(E193="","",E193/60*F193)</f>
        <v/>
      </c>
    </row>
    <row r="194" customFormat="false" ht="15" hidden="false" customHeight="false" outlineLevel="0" collapsed="false">
      <c r="A194" s="25"/>
      <c r="E194" s="26"/>
      <c r="F194" s="27" t="str">
        <f aca="false">IF(B194="","",IFERROR(INDEX(Pessoas!$E:$E,MATCH(B194,Pessoas!$A:$A,0)),0))</f>
        <v/>
      </c>
      <c r="G194" s="27" t="str">
        <f aca="false">IF(E194="","",E194/60*F194)</f>
        <v/>
      </c>
    </row>
    <row r="195" customFormat="false" ht="15" hidden="false" customHeight="false" outlineLevel="0" collapsed="false">
      <c r="A195" s="25"/>
      <c r="E195" s="26"/>
      <c r="F195" s="27" t="str">
        <f aca="false">IF(B195="","",IFERROR(INDEX(Pessoas!$E:$E,MATCH(B195,Pessoas!$A:$A,0)),0))</f>
        <v/>
      </c>
      <c r="G195" s="27" t="str">
        <f aca="false">IF(E195="","",E195/60*F195)</f>
        <v/>
      </c>
    </row>
    <row r="196" customFormat="false" ht="15" hidden="false" customHeight="false" outlineLevel="0" collapsed="false">
      <c r="A196" s="25"/>
      <c r="E196" s="26"/>
      <c r="F196" s="27" t="str">
        <f aca="false">IF(B196="","",IFERROR(INDEX(Pessoas!$E:$E,MATCH(B196,Pessoas!$A:$A,0)),0))</f>
        <v/>
      </c>
      <c r="G196" s="27" t="str">
        <f aca="false">IF(E196="","",E196/60*F196)</f>
        <v/>
      </c>
    </row>
    <row r="197" customFormat="false" ht="15" hidden="false" customHeight="false" outlineLevel="0" collapsed="false">
      <c r="A197" s="25"/>
      <c r="E197" s="26"/>
      <c r="F197" s="27" t="str">
        <f aca="false">IF(B197="","",IFERROR(INDEX(Pessoas!$E:$E,MATCH(B197,Pessoas!$A:$A,0)),0))</f>
        <v/>
      </c>
      <c r="G197" s="27" t="str">
        <f aca="false">IF(E197="","",E197/60*F197)</f>
        <v/>
      </c>
    </row>
    <row r="198" customFormat="false" ht="15" hidden="false" customHeight="false" outlineLevel="0" collapsed="false">
      <c r="A198" s="25"/>
      <c r="E198" s="26"/>
      <c r="F198" s="27" t="str">
        <f aca="false">IF(B198="","",IFERROR(INDEX(Pessoas!$E:$E,MATCH(B198,Pessoas!$A:$A,0)),0))</f>
        <v/>
      </c>
      <c r="G198" s="27" t="str">
        <f aca="false">IF(E198="","",E198/60*F198)</f>
        <v/>
      </c>
    </row>
    <row r="199" customFormat="false" ht="15" hidden="false" customHeight="false" outlineLevel="0" collapsed="false">
      <c r="A199" s="25"/>
      <c r="E199" s="26"/>
      <c r="F199" s="27" t="str">
        <f aca="false">IF(B199="","",IFERROR(INDEX(Pessoas!$E:$E,MATCH(B199,Pessoas!$A:$A,0)),0))</f>
        <v/>
      </c>
      <c r="G199" s="27" t="str">
        <f aca="false">IF(E199="","",E199/60*F199)</f>
        <v/>
      </c>
    </row>
    <row r="200" customFormat="false" ht="15" hidden="false" customHeight="false" outlineLevel="0" collapsed="false">
      <c r="A200" s="25"/>
      <c r="E200" s="26"/>
      <c r="F200" s="27" t="str">
        <f aca="false">IF(B200="","",IFERROR(INDEX(Pessoas!$E:$E,MATCH(B200,Pessoas!$A:$A,0)),0))</f>
        <v/>
      </c>
      <c r="G200" s="27" t="str">
        <f aca="false">IF(E200="","",E200/60*F200)</f>
        <v/>
      </c>
    </row>
    <row r="201" customFormat="false" ht="15" hidden="false" customHeight="false" outlineLevel="0" collapsed="false">
      <c r="A201" s="25"/>
      <c r="E201" s="26"/>
      <c r="F201" s="27" t="str">
        <f aca="false">IF(B201="","",IFERROR(INDEX(Pessoas!$E:$E,MATCH(B201,Pessoas!$A:$A,0)),0))</f>
        <v/>
      </c>
      <c r="G201" s="27" t="str">
        <f aca="false">IF(E201="","",E201/60*F201)</f>
        <v/>
      </c>
    </row>
    <row r="202" customFormat="false" ht="15" hidden="false" customHeight="false" outlineLevel="0" collapsed="false">
      <c r="A202" s="25"/>
      <c r="E202" s="26"/>
      <c r="F202" s="27" t="str">
        <f aca="false">IF(B202="","",IFERROR(INDEX(Pessoas!$E:$E,MATCH(B202,Pessoas!$A:$A,0)),0))</f>
        <v/>
      </c>
      <c r="G202" s="27" t="str">
        <f aca="false">IF(E202="","",E202/60*F202)</f>
        <v/>
      </c>
    </row>
    <row r="203" customFormat="false" ht="15" hidden="false" customHeight="false" outlineLevel="0" collapsed="false">
      <c r="A203" s="25"/>
      <c r="E203" s="26"/>
      <c r="F203" s="27" t="str">
        <f aca="false">IF(B203="","",IFERROR(INDEX(Pessoas!$E:$E,MATCH(B203,Pessoas!$A:$A,0)),0))</f>
        <v/>
      </c>
      <c r="G203" s="27" t="str">
        <f aca="false">IF(E203="","",E203/60*F203)</f>
        <v/>
      </c>
    </row>
    <row r="204" customFormat="false" ht="15" hidden="false" customHeight="false" outlineLevel="0" collapsed="false">
      <c r="A204" s="25"/>
      <c r="E204" s="26"/>
      <c r="F204" s="27" t="str">
        <f aca="false">IF(B204="","",IFERROR(INDEX(Pessoas!$E:$E,MATCH(B204,Pessoas!$A:$A,0)),0))</f>
        <v/>
      </c>
      <c r="G204" s="27" t="str">
        <f aca="false">IF(E204="","",E204/60*F204)</f>
        <v/>
      </c>
    </row>
    <row r="205" customFormat="false" ht="15" hidden="false" customHeight="false" outlineLevel="0" collapsed="false">
      <c r="A205" s="25"/>
      <c r="E205" s="26"/>
      <c r="F205" s="27" t="str">
        <f aca="false">IF(B205="","",IFERROR(INDEX(Pessoas!$E:$E,MATCH(B205,Pessoas!$A:$A,0)),0))</f>
        <v/>
      </c>
      <c r="G205" s="27" t="str">
        <f aca="false">IF(E205="","",E205/60*F205)</f>
        <v/>
      </c>
    </row>
    <row r="206" customFormat="false" ht="15" hidden="false" customHeight="false" outlineLevel="0" collapsed="false">
      <c r="A206" s="25"/>
      <c r="E206" s="26"/>
      <c r="F206" s="27" t="str">
        <f aca="false">IF(B206="","",IFERROR(INDEX(Pessoas!$E:$E,MATCH(B206,Pessoas!$A:$A,0)),0))</f>
        <v/>
      </c>
      <c r="G206" s="27" t="str">
        <f aca="false">IF(E206="","",E206/60*F206)</f>
        <v/>
      </c>
    </row>
    <row r="207" customFormat="false" ht="15" hidden="false" customHeight="false" outlineLevel="0" collapsed="false">
      <c r="A207" s="25"/>
      <c r="E207" s="26"/>
      <c r="F207" s="27" t="str">
        <f aca="false">IF(B207="","",IFERROR(INDEX(Pessoas!$E:$E,MATCH(B207,Pessoas!$A:$A,0)),0))</f>
        <v/>
      </c>
      <c r="G207" s="27" t="str">
        <f aca="false">IF(E207="","",E207/60*F207)</f>
        <v/>
      </c>
    </row>
    <row r="208" customFormat="false" ht="15" hidden="false" customHeight="false" outlineLevel="0" collapsed="false">
      <c r="A208" s="25"/>
      <c r="E208" s="26"/>
      <c r="F208" s="27" t="str">
        <f aca="false">IF(B208="","",IFERROR(INDEX(Pessoas!$E:$E,MATCH(B208,Pessoas!$A:$A,0)),0))</f>
        <v/>
      </c>
      <c r="G208" s="27" t="str">
        <f aca="false">IF(E208="","",E208/60*F208)</f>
        <v/>
      </c>
    </row>
    <row r="209" customFormat="false" ht="15" hidden="false" customHeight="false" outlineLevel="0" collapsed="false">
      <c r="A209" s="25"/>
      <c r="E209" s="26"/>
      <c r="F209" s="27" t="str">
        <f aca="false">IF(B209="","",IFERROR(INDEX(Pessoas!$E:$E,MATCH(B209,Pessoas!$A:$A,0)),0))</f>
        <v/>
      </c>
      <c r="G209" s="27" t="str">
        <f aca="false">IF(E209="","",E209/60*F209)</f>
        <v/>
      </c>
    </row>
    <row r="210" customFormat="false" ht="15" hidden="false" customHeight="false" outlineLevel="0" collapsed="false">
      <c r="A210" s="25"/>
      <c r="E210" s="26"/>
      <c r="F210" s="27" t="str">
        <f aca="false">IF(B210="","",IFERROR(INDEX(Pessoas!$E:$E,MATCH(B210,Pessoas!$A:$A,0)),0))</f>
        <v/>
      </c>
      <c r="G210" s="27" t="str">
        <f aca="false">IF(E210="","",E210/60*F210)</f>
        <v/>
      </c>
    </row>
    <row r="211" customFormat="false" ht="15" hidden="false" customHeight="false" outlineLevel="0" collapsed="false">
      <c r="A211" s="25"/>
      <c r="E211" s="26"/>
      <c r="F211" s="27" t="str">
        <f aca="false">IF(B211="","",IFERROR(INDEX(Pessoas!$E:$E,MATCH(B211,Pessoas!$A:$A,0)),0))</f>
        <v/>
      </c>
      <c r="G211" s="27" t="str">
        <f aca="false">IF(E211="","",E211/60*F211)</f>
        <v/>
      </c>
    </row>
    <row r="212" customFormat="false" ht="15" hidden="false" customHeight="false" outlineLevel="0" collapsed="false">
      <c r="A212" s="25"/>
      <c r="E212" s="26"/>
      <c r="F212" s="27" t="str">
        <f aca="false">IF(B212="","",IFERROR(INDEX(Pessoas!$E:$E,MATCH(B212,Pessoas!$A:$A,0)),0))</f>
        <v/>
      </c>
      <c r="G212" s="27" t="str">
        <f aca="false">IF(E212="","",E212/60*F212)</f>
        <v/>
      </c>
    </row>
    <row r="213" customFormat="false" ht="15" hidden="false" customHeight="false" outlineLevel="0" collapsed="false">
      <c r="A213" s="25"/>
      <c r="E213" s="26"/>
      <c r="F213" s="27" t="str">
        <f aca="false">IF(B213="","",IFERROR(INDEX(Pessoas!$E:$E,MATCH(B213,Pessoas!$A:$A,0)),0))</f>
        <v/>
      </c>
      <c r="G213" s="27" t="str">
        <f aca="false">IF(E213="","",E213/60*F213)</f>
        <v/>
      </c>
    </row>
    <row r="214" customFormat="false" ht="15" hidden="false" customHeight="false" outlineLevel="0" collapsed="false">
      <c r="A214" s="25"/>
      <c r="E214" s="26"/>
      <c r="F214" s="27" t="str">
        <f aca="false">IF(B214="","",IFERROR(INDEX(Pessoas!$E:$E,MATCH(B214,Pessoas!$A:$A,0)),0))</f>
        <v/>
      </c>
      <c r="G214" s="27" t="str">
        <f aca="false">IF(E214="","",E214/60*F214)</f>
        <v/>
      </c>
    </row>
    <row r="215" customFormat="false" ht="15" hidden="false" customHeight="false" outlineLevel="0" collapsed="false">
      <c r="A215" s="25"/>
      <c r="E215" s="26"/>
      <c r="F215" s="27" t="str">
        <f aca="false">IF(B215="","",IFERROR(INDEX(Pessoas!$E:$E,MATCH(B215,Pessoas!$A:$A,0)),0))</f>
        <v/>
      </c>
      <c r="G215" s="27" t="str">
        <f aca="false">IF(E215="","",E215/60*F215)</f>
        <v/>
      </c>
    </row>
    <row r="216" customFormat="false" ht="15" hidden="false" customHeight="false" outlineLevel="0" collapsed="false">
      <c r="A216" s="25"/>
      <c r="E216" s="26"/>
      <c r="F216" s="27" t="str">
        <f aca="false">IF(B216="","",IFERROR(INDEX(Pessoas!$E:$E,MATCH(B216,Pessoas!$A:$A,0)),0))</f>
        <v/>
      </c>
      <c r="G216" s="27" t="str">
        <f aca="false">IF(E216="","",E216/60*F216)</f>
        <v/>
      </c>
    </row>
    <row r="217" customFormat="false" ht="15" hidden="false" customHeight="false" outlineLevel="0" collapsed="false">
      <c r="A217" s="25"/>
      <c r="E217" s="26"/>
      <c r="F217" s="27" t="str">
        <f aca="false">IF(B217="","",IFERROR(INDEX(Pessoas!$E:$E,MATCH(B217,Pessoas!$A:$A,0)),0))</f>
        <v/>
      </c>
      <c r="G217" s="27" t="str">
        <f aca="false">IF(E217="","",E217/60*F217)</f>
        <v/>
      </c>
    </row>
    <row r="218" customFormat="false" ht="15" hidden="false" customHeight="false" outlineLevel="0" collapsed="false">
      <c r="A218" s="25"/>
      <c r="E218" s="26"/>
      <c r="F218" s="27" t="str">
        <f aca="false">IF(B218="","",IFERROR(INDEX(Pessoas!$E:$E,MATCH(B218,Pessoas!$A:$A,0)),0))</f>
        <v/>
      </c>
      <c r="G218" s="27" t="str">
        <f aca="false">IF(E218="","",E218/60*F218)</f>
        <v/>
      </c>
    </row>
    <row r="219" customFormat="false" ht="15" hidden="false" customHeight="false" outlineLevel="0" collapsed="false">
      <c r="A219" s="25"/>
      <c r="E219" s="26"/>
      <c r="F219" s="27" t="str">
        <f aca="false">IF(B219="","",IFERROR(INDEX(Pessoas!$E:$E,MATCH(B219,Pessoas!$A:$A,0)),0))</f>
        <v/>
      </c>
      <c r="G219" s="27" t="str">
        <f aca="false">IF(E219="","",E219/60*F219)</f>
        <v/>
      </c>
    </row>
    <row r="220" customFormat="false" ht="15" hidden="false" customHeight="false" outlineLevel="0" collapsed="false">
      <c r="A220" s="25"/>
      <c r="E220" s="26"/>
      <c r="F220" s="27" t="str">
        <f aca="false">IF(B220="","",IFERROR(INDEX(Pessoas!$E:$E,MATCH(B220,Pessoas!$A:$A,0)),0))</f>
        <v/>
      </c>
      <c r="G220" s="27" t="str">
        <f aca="false">IF(E220="","",E220/60*F220)</f>
        <v/>
      </c>
    </row>
    <row r="221" customFormat="false" ht="15" hidden="false" customHeight="false" outlineLevel="0" collapsed="false">
      <c r="A221" s="25"/>
      <c r="E221" s="26"/>
      <c r="F221" s="27" t="str">
        <f aca="false">IF(B221="","",IFERROR(INDEX(Pessoas!$E:$E,MATCH(B221,Pessoas!$A:$A,0)),0))</f>
        <v/>
      </c>
      <c r="G221" s="27" t="str">
        <f aca="false">IF(E221="","",E221/60*F221)</f>
        <v/>
      </c>
    </row>
    <row r="222" customFormat="false" ht="15" hidden="false" customHeight="false" outlineLevel="0" collapsed="false">
      <c r="A222" s="25"/>
      <c r="E222" s="26"/>
      <c r="F222" s="27" t="str">
        <f aca="false">IF(B222="","",IFERROR(INDEX(Pessoas!$E:$E,MATCH(B222,Pessoas!$A:$A,0)),0))</f>
        <v/>
      </c>
      <c r="G222" s="27" t="str">
        <f aca="false">IF(E222="","",E222/60*F222)</f>
        <v/>
      </c>
    </row>
    <row r="223" customFormat="false" ht="15" hidden="false" customHeight="false" outlineLevel="0" collapsed="false">
      <c r="A223" s="25"/>
      <c r="E223" s="26"/>
      <c r="F223" s="27" t="str">
        <f aca="false">IF(B223="","",IFERROR(INDEX(Pessoas!$E:$E,MATCH(B223,Pessoas!$A:$A,0)),0))</f>
        <v/>
      </c>
      <c r="G223" s="27" t="str">
        <f aca="false">IF(E223="","",E223/60*F223)</f>
        <v/>
      </c>
    </row>
    <row r="224" customFormat="false" ht="15" hidden="false" customHeight="false" outlineLevel="0" collapsed="false">
      <c r="A224" s="25"/>
      <c r="E224" s="26"/>
      <c r="F224" s="27" t="str">
        <f aca="false">IF(B224="","",IFERROR(INDEX(Pessoas!$E:$E,MATCH(B224,Pessoas!$A:$A,0)),0))</f>
        <v/>
      </c>
      <c r="G224" s="27" t="str">
        <f aca="false">IF(E224="","",E224/60*F224)</f>
        <v/>
      </c>
    </row>
    <row r="225" customFormat="false" ht="15" hidden="false" customHeight="false" outlineLevel="0" collapsed="false">
      <c r="A225" s="25"/>
      <c r="E225" s="26"/>
      <c r="F225" s="27" t="str">
        <f aca="false">IF(B225="","",IFERROR(INDEX(Pessoas!$E:$E,MATCH(B225,Pessoas!$A:$A,0)),0))</f>
        <v/>
      </c>
      <c r="G225" s="27" t="str">
        <f aca="false">IF(E225="","",E225/60*F225)</f>
        <v/>
      </c>
    </row>
    <row r="226" customFormat="false" ht="15" hidden="false" customHeight="false" outlineLevel="0" collapsed="false">
      <c r="A226" s="25"/>
      <c r="E226" s="26"/>
      <c r="F226" s="27" t="str">
        <f aca="false">IF(B226="","",IFERROR(INDEX(Pessoas!$E:$E,MATCH(B226,Pessoas!$A:$A,0)),0))</f>
        <v/>
      </c>
      <c r="G226" s="27" t="str">
        <f aca="false">IF(E226="","",E226/60*F226)</f>
        <v/>
      </c>
    </row>
    <row r="227" customFormat="false" ht="15" hidden="false" customHeight="false" outlineLevel="0" collapsed="false">
      <c r="A227" s="25"/>
      <c r="E227" s="26"/>
      <c r="F227" s="27" t="str">
        <f aca="false">IF(B227="","",IFERROR(INDEX(Pessoas!$E:$E,MATCH(B227,Pessoas!$A:$A,0)),0))</f>
        <v/>
      </c>
      <c r="G227" s="27" t="str">
        <f aca="false">IF(E227="","",E227/60*F227)</f>
        <v/>
      </c>
    </row>
    <row r="228" customFormat="false" ht="15" hidden="false" customHeight="false" outlineLevel="0" collapsed="false">
      <c r="A228" s="25"/>
      <c r="E228" s="26"/>
      <c r="F228" s="27" t="str">
        <f aca="false">IF(B228="","",IFERROR(INDEX(Pessoas!$E:$E,MATCH(B228,Pessoas!$A:$A,0)),0))</f>
        <v/>
      </c>
      <c r="G228" s="27" t="str">
        <f aca="false">IF(E228="","",E228/60*F228)</f>
        <v/>
      </c>
    </row>
    <row r="229" customFormat="false" ht="15" hidden="false" customHeight="false" outlineLevel="0" collapsed="false">
      <c r="A229" s="25"/>
      <c r="E229" s="26"/>
      <c r="F229" s="27" t="str">
        <f aca="false">IF(B229="","",IFERROR(INDEX(Pessoas!$E:$E,MATCH(B229,Pessoas!$A:$A,0)),0))</f>
        <v/>
      </c>
      <c r="G229" s="27" t="str">
        <f aca="false">IF(E229="","",E229/60*F229)</f>
        <v/>
      </c>
    </row>
    <row r="230" customFormat="false" ht="15" hidden="false" customHeight="false" outlineLevel="0" collapsed="false">
      <c r="A230" s="25"/>
      <c r="E230" s="26"/>
      <c r="F230" s="27" t="str">
        <f aca="false">IF(B230="","",IFERROR(INDEX(Pessoas!$E:$E,MATCH(B230,Pessoas!$A:$A,0)),0))</f>
        <v/>
      </c>
      <c r="G230" s="27" t="str">
        <f aca="false">IF(E230="","",E230/60*F230)</f>
        <v/>
      </c>
    </row>
    <row r="231" customFormat="false" ht="15" hidden="false" customHeight="false" outlineLevel="0" collapsed="false">
      <c r="A231" s="25"/>
      <c r="E231" s="26"/>
      <c r="F231" s="27" t="str">
        <f aca="false">IF(B231="","",IFERROR(INDEX(Pessoas!$E:$E,MATCH(B231,Pessoas!$A:$A,0)),0))</f>
        <v/>
      </c>
      <c r="G231" s="27" t="str">
        <f aca="false">IF(E231="","",E231/60*F231)</f>
        <v/>
      </c>
    </row>
    <row r="232" customFormat="false" ht="15" hidden="false" customHeight="false" outlineLevel="0" collapsed="false">
      <c r="A232" s="25"/>
      <c r="E232" s="26"/>
      <c r="F232" s="27" t="str">
        <f aca="false">IF(B232="","",IFERROR(INDEX(Pessoas!$E:$E,MATCH(B232,Pessoas!$A:$A,0)),0))</f>
        <v/>
      </c>
      <c r="G232" s="27" t="str">
        <f aca="false">IF(E232="","",E232/60*F232)</f>
        <v/>
      </c>
    </row>
    <row r="233" customFormat="false" ht="15" hidden="false" customHeight="false" outlineLevel="0" collapsed="false">
      <c r="A233" s="25"/>
      <c r="E233" s="26"/>
      <c r="F233" s="27" t="str">
        <f aca="false">IF(B233="","",IFERROR(INDEX(Pessoas!$E:$E,MATCH(B233,Pessoas!$A:$A,0)),0))</f>
        <v/>
      </c>
      <c r="G233" s="27" t="str">
        <f aca="false">IF(E233="","",E233/60*F233)</f>
        <v/>
      </c>
    </row>
    <row r="234" customFormat="false" ht="15" hidden="false" customHeight="false" outlineLevel="0" collapsed="false">
      <c r="A234" s="25"/>
      <c r="E234" s="26"/>
      <c r="F234" s="27" t="str">
        <f aca="false">IF(B234="","",IFERROR(INDEX(Pessoas!$E:$E,MATCH(B234,Pessoas!$A:$A,0)),0))</f>
        <v/>
      </c>
      <c r="G234" s="27" t="str">
        <f aca="false">IF(E234="","",E234/60*F234)</f>
        <v/>
      </c>
    </row>
    <row r="235" customFormat="false" ht="15" hidden="false" customHeight="false" outlineLevel="0" collapsed="false">
      <c r="A235" s="25"/>
      <c r="E235" s="26"/>
      <c r="F235" s="27" t="str">
        <f aca="false">IF(B235="","",IFERROR(INDEX(Pessoas!$E:$E,MATCH(B235,Pessoas!$A:$A,0)),0))</f>
        <v/>
      </c>
      <c r="G235" s="27" t="str">
        <f aca="false">IF(E235="","",E235/60*F235)</f>
        <v/>
      </c>
    </row>
    <row r="236" customFormat="false" ht="15" hidden="false" customHeight="false" outlineLevel="0" collapsed="false">
      <c r="A236" s="25"/>
      <c r="E236" s="26"/>
      <c r="F236" s="27" t="str">
        <f aca="false">IF(B236="","",IFERROR(INDEX(Pessoas!$E:$E,MATCH(B236,Pessoas!$A:$A,0)),0))</f>
        <v/>
      </c>
      <c r="G236" s="27" t="str">
        <f aca="false">IF(E236="","",E236/60*F236)</f>
        <v/>
      </c>
    </row>
    <row r="237" customFormat="false" ht="15" hidden="false" customHeight="false" outlineLevel="0" collapsed="false">
      <c r="A237" s="25"/>
      <c r="E237" s="26"/>
      <c r="F237" s="27" t="str">
        <f aca="false">IF(B237="","",IFERROR(INDEX(Pessoas!$E:$E,MATCH(B237,Pessoas!$A:$A,0)),0))</f>
        <v/>
      </c>
      <c r="G237" s="27" t="str">
        <f aca="false">IF(E237="","",E237/60*F237)</f>
        <v/>
      </c>
    </row>
    <row r="238" customFormat="false" ht="15" hidden="false" customHeight="false" outlineLevel="0" collapsed="false">
      <c r="A238" s="25"/>
      <c r="E238" s="26"/>
      <c r="F238" s="27" t="str">
        <f aca="false">IF(B238="","",IFERROR(INDEX(Pessoas!$E:$E,MATCH(B238,Pessoas!$A:$A,0)),0))</f>
        <v/>
      </c>
      <c r="G238" s="27" t="str">
        <f aca="false">IF(E238="","",E238/60*F238)</f>
        <v/>
      </c>
    </row>
    <row r="239" customFormat="false" ht="15" hidden="false" customHeight="false" outlineLevel="0" collapsed="false">
      <c r="A239" s="25"/>
      <c r="E239" s="26"/>
      <c r="F239" s="27" t="str">
        <f aca="false">IF(B239="","",IFERROR(INDEX(Pessoas!$E:$E,MATCH(B239,Pessoas!$A:$A,0)),0))</f>
        <v/>
      </c>
      <c r="G239" s="27" t="str">
        <f aca="false">IF(E239="","",E239/60*F239)</f>
        <v/>
      </c>
    </row>
    <row r="240" customFormat="false" ht="15" hidden="false" customHeight="false" outlineLevel="0" collapsed="false">
      <c r="A240" s="25"/>
      <c r="E240" s="26"/>
      <c r="F240" s="27" t="str">
        <f aca="false">IF(B240="","",IFERROR(INDEX(Pessoas!$E:$E,MATCH(B240,Pessoas!$A:$A,0)),0))</f>
        <v/>
      </c>
      <c r="G240" s="27" t="str">
        <f aca="false">IF(E240="","",E240/60*F240)</f>
        <v/>
      </c>
    </row>
    <row r="241" customFormat="false" ht="15" hidden="false" customHeight="false" outlineLevel="0" collapsed="false">
      <c r="A241" s="25"/>
      <c r="E241" s="26"/>
      <c r="F241" s="27" t="str">
        <f aca="false">IF(B241="","",IFERROR(INDEX(Pessoas!$E:$E,MATCH(B241,Pessoas!$A:$A,0)),0))</f>
        <v/>
      </c>
      <c r="G241" s="27" t="str">
        <f aca="false">IF(E241="","",E241/60*F241)</f>
        <v/>
      </c>
    </row>
    <row r="242" customFormat="false" ht="15" hidden="false" customHeight="false" outlineLevel="0" collapsed="false">
      <c r="A242" s="25"/>
      <c r="E242" s="26"/>
      <c r="F242" s="27" t="str">
        <f aca="false">IF(B242="","",IFERROR(INDEX(Pessoas!$E:$E,MATCH(B242,Pessoas!$A:$A,0)),0))</f>
        <v/>
      </c>
      <c r="G242" s="27" t="str">
        <f aca="false">IF(E242="","",E242/60*F242)</f>
        <v/>
      </c>
    </row>
    <row r="243" customFormat="false" ht="15" hidden="false" customHeight="false" outlineLevel="0" collapsed="false">
      <c r="A243" s="25"/>
      <c r="E243" s="26"/>
      <c r="F243" s="27" t="str">
        <f aca="false">IF(B243="","",IFERROR(INDEX(Pessoas!$E:$E,MATCH(B243,Pessoas!$A:$A,0)),0))</f>
        <v/>
      </c>
      <c r="G243" s="27" t="str">
        <f aca="false">IF(E243="","",E243/60*F243)</f>
        <v/>
      </c>
    </row>
    <row r="244" customFormat="false" ht="15" hidden="false" customHeight="false" outlineLevel="0" collapsed="false">
      <c r="A244" s="25"/>
      <c r="E244" s="26"/>
      <c r="F244" s="27" t="str">
        <f aca="false">IF(B244="","",IFERROR(INDEX(Pessoas!$E:$E,MATCH(B244,Pessoas!$A:$A,0)),0))</f>
        <v/>
      </c>
      <c r="G244" s="27" t="str">
        <f aca="false">IF(E244="","",E244/60*F244)</f>
        <v/>
      </c>
    </row>
    <row r="245" customFormat="false" ht="15" hidden="false" customHeight="false" outlineLevel="0" collapsed="false">
      <c r="A245" s="25"/>
      <c r="E245" s="26"/>
      <c r="F245" s="27" t="str">
        <f aca="false">IF(B245="","",IFERROR(INDEX(Pessoas!$E:$E,MATCH(B245,Pessoas!$A:$A,0)),0))</f>
        <v/>
      </c>
      <c r="G245" s="27" t="str">
        <f aca="false">IF(E245="","",E245/60*F245)</f>
        <v/>
      </c>
    </row>
    <row r="246" customFormat="false" ht="15" hidden="false" customHeight="false" outlineLevel="0" collapsed="false">
      <c r="A246" s="25"/>
      <c r="E246" s="26"/>
      <c r="F246" s="27" t="str">
        <f aca="false">IF(B246="","",IFERROR(INDEX(Pessoas!$E:$E,MATCH(B246,Pessoas!$A:$A,0)),0))</f>
        <v/>
      </c>
      <c r="G246" s="27" t="str">
        <f aca="false">IF(E246="","",E246/60*F246)</f>
        <v/>
      </c>
    </row>
    <row r="247" customFormat="false" ht="15" hidden="false" customHeight="false" outlineLevel="0" collapsed="false">
      <c r="A247" s="25"/>
      <c r="E247" s="26"/>
      <c r="F247" s="27" t="str">
        <f aca="false">IF(B247="","",IFERROR(INDEX(Pessoas!$E:$E,MATCH(B247,Pessoas!$A:$A,0)),0))</f>
        <v/>
      </c>
      <c r="G247" s="27" t="str">
        <f aca="false">IF(E247="","",E247/60*F247)</f>
        <v/>
      </c>
    </row>
    <row r="248" customFormat="false" ht="15" hidden="false" customHeight="false" outlineLevel="0" collapsed="false">
      <c r="A248" s="25"/>
      <c r="E248" s="26"/>
      <c r="F248" s="27" t="str">
        <f aca="false">IF(B248="","",IFERROR(INDEX(Pessoas!$E:$E,MATCH(B248,Pessoas!$A:$A,0)),0))</f>
        <v/>
      </c>
      <c r="G248" s="27" t="str">
        <f aca="false">IF(E248="","",E248/60*F248)</f>
        <v/>
      </c>
    </row>
    <row r="249" customFormat="false" ht="15" hidden="false" customHeight="false" outlineLevel="0" collapsed="false">
      <c r="A249" s="25"/>
      <c r="E249" s="26"/>
      <c r="F249" s="27" t="str">
        <f aca="false">IF(B249="","",IFERROR(INDEX(Pessoas!$E:$E,MATCH(B249,Pessoas!$A:$A,0)),0))</f>
        <v/>
      </c>
      <c r="G249" s="27" t="str">
        <f aca="false">IF(E249="","",E249/60*F249)</f>
        <v/>
      </c>
    </row>
    <row r="250" customFormat="false" ht="15" hidden="false" customHeight="false" outlineLevel="0" collapsed="false">
      <c r="A250" s="25"/>
      <c r="E250" s="26"/>
      <c r="F250" s="27" t="str">
        <f aca="false">IF(B250="","",IFERROR(INDEX(Pessoas!$E:$E,MATCH(B250,Pessoas!$A:$A,0)),0))</f>
        <v/>
      </c>
      <c r="G250" s="27" t="str">
        <f aca="false">IF(E250="","",E250/60*F250)</f>
        <v/>
      </c>
    </row>
    <row r="251" customFormat="false" ht="15" hidden="false" customHeight="false" outlineLevel="0" collapsed="false">
      <c r="A251" s="25"/>
      <c r="E251" s="26"/>
      <c r="F251" s="27" t="str">
        <f aca="false">IF(B251="","",IFERROR(INDEX(Pessoas!$E:$E,MATCH(B251,Pessoas!$A:$A,0)),0))</f>
        <v/>
      </c>
      <c r="G251" s="27" t="str">
        <f aca="false">IF(E251="","",E251/60*F251)</f>
        <v/>
      </c>
    </row>
    <row r="252" customFormat="false" ht="15" hidden="false" customHeight="false" outlineLevel="0" collapsed="false">
      <c r="A252" s="25"/>
      <c r="E252" s="26"/>
      <c r="F252" s="27" t="str">
        <f aca="false">IF(B252="","",IFERROR(INDEX(Pessoas!$E:$E,MATCH(B252,Pessoas!$A:$A,0)),0))</f>
        <v/>
      </c>
      <c r="G252" s="27" t="str">
        <f aca="false">IF(E252="","",E252/60*F252)</f>
        <v/>
      </c>
    </row>
    <row r="253" customFormat="false" ht="15" hidden="false" customHeight="false" outlineLevel="0" collapsed="false">
      <c r="A253" s="25"/>
      <c r="E253" s="26"/>
      <c r="F253" s="27" t="str">
        <f aca="false">IF(B253="","",IFERROR(INDEX(Pessoas!$E:$E,MATCH(B253,Pessoas!$A:$A,0)),0))</f>
        <v/>
      </c>
      <c r="G253" s="27" t="str">
        <f aca="false">IF(E253="","",E253/60*F253)</f>
        <v/>
      </c>
    </row>
    <row r="254" customFormat="false" ht="15" hidden="false" customHeight="false" outlineLevel="0" collapsed="false">
      <c r="A254" s="25"/>
      <c r="E254" s="26"/>
      <c r="F254" s="27" t="str">
        <f aca="false">IF(B254="","",IFERROR(INDEX(Pessoas!$E:$E,MATCH(B254,Pessoas!$A:$A,0)),0))</f>
        <v/>
      </c>
      <c r="G254" s="27" t="str">
        <f aca="false">IF(E254="","",E254/60*F254)</f>
        <v/>
      </c>
    </row>
    <row r="255" customFormat="false" ht="15" hidden="false" customHeight="false" outlineLevel="0" collapsed="false">
      <c r="A255" s="25"/>
      <c r="E255" s="26"/>
      <c r="F255" s="27" t="str">
        <f aca="false">IF(B255="","",IFERROR(INDEX(Pessoas!$E:$E,MATCH(B255,Pessoas!$A:$A,0)),0))</f>
        <v/>
      </c>
      <c r="G255" s="27" t="str">
        <f aca="false">IF(E255="","",E255/60*F255)</f>
        <v/>
      </c>
    </row>
    <row r="256" customFormat="false" ht="15" hidden="false" customHeight="false" outlineLevel="0" collapsed="false">
      <c r="A256" s="25"/>
      <c r="E256" s="26"/>
      <c r="F256" s="27" t="str">
        <f aca="false">IF(B256="","",IFERROR(INDEX(Pessoas!$E:$E,MATCH(B256,Pessoas!$A:$A,0)),0))</f>
        <v/>
      </c>
      <c r="G256" s="27" t="str">
        <f aca="false">IF(E256="","",E256/60*F256)</f>
        <v/>
      </c>
    </row>
    <row r="257" customFormat="false" ht="15" hidden="false" customHeight="false" outlineLevel="0" collapsed="false">
      <c r="A257" s="25"/>
      <c r="E257" s="26"/>
      <c r="F257" s="27" t="str">
        <f aca="false">IF(B257="","",IFERROR(INDEX(Pessoas!$E:$E,MATCH(B257,Pessoas!$A:$A,0)),0))</f>
        <v/>
      </c>
      <c r="G257" s="27" t="str">
        <f aca="false">IF(E257="","",E257/60*F257)</f>
        <v/>
      </c>
    </row>
    <row r="258" customFormat="false" ht="15" hidden="false" customHeight="false" outlineLevel="0" collapsed="false">
      <c r="A258" s="25"/>
      <c r="E258" s="26"/>
      <c r="F258" s="27" t="str">
        <f aca="false">IF(B258="","",IFERROR(INDEX(Pessoas!$E:$E,MATCH(B258,Pessoas!$A:$A,0)),0))</f>
        <v/>
      </c>
      <c r="G258" s="27" t="str">
        <f aca="false">IF(E258="","",E258/60*F258)</f>
        <v/>
      </c>
    </row>
    <row r="259" customFormat="false" ht="15" hidden="false" customHeight="false" outlineLevel="0" collapsed="false">
      <c r="A259" s="25"/>
      <c r="E259" s="26"/>
      <c r="F259" s="27" t="str">
        <f aca="false">IF(B259="","",IFERROR(INDEX(Pessoas!$E:$E,MATCH(B259,Pessoas!$A:$A,0)),0))</f>
        <v/>
      </c>
      <c r="G259" s="27" t="str">
        <f aca="false">IF(E259="","",E259/60*F259)</f>
        <v/>
      </c>
    </row>
    <row r="260" customFormat="false" ht="15" hidden="false" customHeight="false" outlineLevel="0" collapsed="false">
      <c r="A260" s="25"/>
      <c r="E260" s="26"/>
      <c r="F260" s="27" t="str">
        <f aca="false">IF(B260="","",IFERROR(INDEX(Pessoas!$E:$E,MATCH(B260,Pessoas!$A:$A,0)),0))</f>
        <v/>
      </c>
      <c r="G260" s="27" t="str">
        <f aca="false">IF(E260="","",E260/60*F260)</f>
        <v/>
      </c>
    </row>
    <row r="261" customFormat="false" ht="15" hidden="false" customHeight="false" outlineLevel="0" collapsed="false">
      <c r="A261" s="25"/>
      <c r="E261" s="26"/>
      <c r="F261" s="27" t="str">
        <f aca="false">IF(B261="","",IFERROR(INDEX(Pessoas!$E:$E,MATCH(B261,Pessoas!$A:$A,0)),0))</f>
        <v/>
      </c>
      <c r="G261" s="27" t="str">
        <f aca="false">IF(E261="","",E261/60*F261)</f>
        <v/>
      </c>
    </row>
    <row r="262" customFormat="false" ht="15" hidden="false" customHeight="false" outlineLevel="0" collapsed="false">
      <c r="A262" s="25"/>
      <c r="E262" s="26"/>
      <c r="F262" s="27" t="str">
        <f aca="false">IF(B262="","",IFERROR(INDEX(Pessoas!$E:$E,MATCH(B262,Pessoas!$A:$A,0)),0))</f>
        <v/>
      </c>
      <c r="G262" s="27" t="str">
        <f aca="false">IF(E262="","",E262/60*F262)</f>
        <v/>
      </c>
    </row>
    <row r="263" customFormat="false" ht="15" hidden="false" customHeight="false" outlineLevel="0" collapsed="false">
      <c r="A263" s="25"/>
      <c r="E263" s="26"/>
      <c r="F263" s="27" t="str">
        <f aca="false">IF(B263="","",IFERROR(INDEX(Pessoas!$E:$E,MATCH(B263,Pessoas!$A:$A,0)),0))</f>
        <v/>
      </c>
      <c r="G263" s="27" t="str">
        <f aca="false">IF(E263="","",E263/60*F263)</f>
        <v/>
      </c>
    </row>
    <row r="264" customFormat="false" ht="15" hidden="false" customHeight="false" outlineLevel="0" collapsed="false">
      <c r="A264" s="25"/>
      <c r="E264" s="26"/>
      <c r="F264" s="27" t="str">
        <f aca="false">IF(B264="","",IFERROR(INDEX(Pessoas!$E:$E,MATCH(B264,Pessoas!$A:$A,0)),0))</f>
        <v/>
      </c>
      <c r="G264" s="27" t="str">
        <f aca="false">IF(E264="","",E264/60*F264)</f>
        <v/>
      </c>
    </row>
    <row r="265" customFormat="false" ht="15" hidden="false" customHeight="false" outlineLevel="0" collapsed="false">
      <c r="A265" s="25"/>
      <c r="E265" s="26"/>
      <c r="F265" s="27" t="str">
        <f aca="false">IF(B265="","",IFERROR(INDEX(Pessoas!$E:$E,MATCH(B265,Pessoas!$A:$A,0)),0))</f>
        <v/>
      </c>
      <c r="G265" s="27" t="str">
        <f aca="false">IF(E265="","",E265/60*F265)</f>
        <v/>
      </c>
    </row>
    <row r="266" customFormat="false" ht="15" hidden="false" customHeight="false" outlineLevel="0" collapsed="false">
      <c r="A266" s="25"/>
      <c r="E266" s="26"/>
      <c r="F266" s="27" t="str">
        <f aca="false">IF(B266="","",IFERROR(INDEX(Pessoas!$E:$E,MATCH(B266,Pessoas!$A:$A,0)),0))</f>
        <v/>
      </c>
      <c r="G266" s="27" t="str">
        <f aca="false">IF(E266="","",E266/60*F266)</f>
        <v/>
      </c>
    </row>
    <row r="267" customFormat="false" ht="15" hidden="false" customHeight="false" outlineLevel="0" collapsed="false">
      <c r="A267" s="25"/>
      <c r="E267" s="26"/>
      <c r="F267" s="27" t="str">
        <f aca="false">IF(B267="","",IFERROR(INDEX(Pessoas!$E:$E,MATCH(B267,Pessoas!$A:$A,0)),0))</f>
        <v/>
      </c>
      <c r="G267" s="27" t="str">
        <f aca="false">IF(E267="","",E267/60*F267)</f>
        <v/>
      </c>
    </row>
    <row r="268" customFormat="false" ht="15" hidden="false" customHeight="false" outlineLevel="0" collapsed="false">
      <c r="A268" s="25"/>
      <c r="E268" s="26"/>
      <c r="F268" s="27" t="str">
        <f aca="false">IF(B268="","",IFERROR(INDEX(Pessoas!$E:$E,MATCH(B268,Pessoas!$A:$A,0)),0))</f>
        <v/>
      </c>
      <c r="G268" s="27" t="str">
        <f aca="false">IF(E268="","",E268/60*F268)</f>
        <v/>
      </c>
    </row>
    <row r="269" customFormat="false" ht="15" hidden="false" customHeight="false" outlineLevel="0" collapsed="false">
      <c r="A269" s="25"/>
      <c r="E269" s="26"/>
      <c r="F269" s="27" t="str">
        <f aca="false">IF(B269="","",IFERROR(INDEX(Pessoas!$E:$E,MATCH(B269,Pessoas!$A:$A,0)),0))</f>
        <v/>
      </c>
      <c r="G269" s="27" t="str">
        <f aca="false">IF(E269="","",E269/60*F269)</f>
        <v/>
      </c>
    </row>
    <row r="270" customFormat="false" ht="15" hidden="false" customHeight="false" outlineLevel="0" collapsed="false">
      <c r="A270" s="25"/>
      <c r="E270" s="26"/>
      <c r="F270" s="27" t="str">
        <f aca="false">IF(B270="","",IFERROR(INDEX(Pessoas!$E:$E,MATCH(B270,Pessoas!$A:$A,0)),0))</f>
        <v/>
      </c>
      <c r="G270" s="27" t="str">
        <f aca="false">IF(E270="","",E270/60*F270)</f>
        <v/>
      </c>
    </row>
    <row r="271" customFormat="false" ht="15" hidden="false" customHeight="false" outlineLevel="0" collapsed="false">
      <c r="A271" s="25"/>
      <c r="E271" s="26"/>
      <c r="F271" s="27" t="str">
        <f aca="false">IF(B271="","",IFERROR(INDEX(Pessoas!$E:$E,MATCH(B271,Pessoas!$A:$A,0)),0))</f>
        <v/>
      </c>
      <c r="G271" s="27" t="str">
        <f aca="false">IF(E271="","",E271/60*F271)</f>
        <v/>
      </c>
    </row>
    <row r="272" customFormat="false" ht="15" hidden="false" customHeight="false" outlineLevel="0" collapsed="false">
      <c r="A272" s="25"/>
      <c r="E272" s="26"/>
      <c r="F272" s="27" t="str">
        <f aca="false">IF(B272="","",IFERROR(INDEX(Pessoas!$E:$E,MATCH(B272,Pessoas!$A:$A,0)),0))</f>
        <v/>
      </c>
      <c r="G272" s="27" t="str">
        <f aca="false">IF(E272="","",E272/60*F272)</f>
        <v/>
      </c>
    </row>
    <row r="273" customFormat="false" ht="15" hidden="false" customHeight="false" outlineLevel="0" collapsed="false">
      <c r="A273" s="25"/>
      <c r="E273" s="26"/>
      <c r="F273" s="27" t="str">
        <f aca="false">IF(B273="","",IFERROR(INDEX(Pessoas!$E:$E,MATCH(B273,Pessoas!$A:$A,0)),0))</f>
        <v/>
      </c>
      <c r="G273" s="27" t="str">
        <f aca="false">IF(E273="","",E273/60*F273)</f>
        <v/>
      </c>
    </row>
    <row r="274" customFormat="false" ht="15" hidden="false" customHeight="false" outlineLevel="0" collapsed="false">
      <c r="A274" s="25"/>
      <c r="E274" s="26"/>
      <c r="F274" s="27" t="str">
        <f aca="false">IF(B274="","",IFERROR(INDEX(Pessoas!$E:$E,MATCH(B274,Pessoas!$A:$A,0)),0))</f>
        <v/>
      </c>
      <c r="G274" s="27" t="str">
        <f aca="false">IF(E274="","",E274/60*F274)</f>
        <v/>
      </c>
    </row>
    <row r="275" customFormat="false" ht="15" hidden="false" customHeight="false" outlineLevel="0" collapsed="false">
      <c r="A275" s="25"/>
      <c r="E275" s="26"/>
      <c r="F275" s="27" t="str">
        <f aca="false">IF(B275="","",IFERROR(INDEX(Pessoas!$E:$E,MATCH(B275,Pessoas!$A:$A,0)),0))</f>
        <v/>
      </c>
      <c r="G275" s="27" t="str">
        <f aca="false">IF(E275="","",E275/60*F275)</f>
        <v/>
      </c>
    </row>
    <row r="276" customFormat="false" ht="15" hidden="false" customHeight="false" outlineLevel="0" collapsed="false">
      <c r="A276" s="25"/>
      <c r="E276" s="26"/>
      <c r="F276" s="27" t="str">
        <f aca="false">IF(B276="","",IFERROR(INDEX(Pessoas!$E:$E,MATCH(B276,Pessoas!$A:$A,0)),0))</f>
        <v/>
      </c>
      <c r="G276" s="27" t="str">
        <f aca="false">IF(E276="","",E276/60*F276)</f>
        <v/>
      </c>
    </row>
    <row r="277" customFormat="false" ht="15" hidden="false" customHeight="false" outlineLevel="0" collapsed="false">
      <c r="A277" s="25"/>
      <c r="E277" s="26"/>
      <c r="F277" s="27" t="str">
        <f aca="false">IF(B277="","",IFERROR(INDEX(Pessoas!$E:$E,MATCH(B277,Pessoas!$A:$A,0)),0))</f>
        <v/>
      </c>
      <c r="G277" s="27" t="str">
        <f aca="false">IF(E277="","",E277/60*F277)</f>
        <v/>
      </c>
    </row>
    <row r="278" customFormat="false" ht="15" hidden="false" customHeight="false" outlineLevel="0" collapsed="false">
      <c r="A278" s="25"/>
      <c r="E278" s="26"/>
      <c r="F278" s="27" t="str">
        <f aca="false">IF(B278="","",IFERROR(INDEX(Pessoas!$E:$E,MATCH(B278,Pessoas!$A:$A,0)),0))</f>
        <v/>
      </c>
      <c r="G278" s="27" t="str">
        <f aca="false">IF(E278="","",E278/60*F278)</f>
        <v/>
      </c>
    </row>
    <row r="279" customFormat="false" ht="15" hidden="false" customHeight="false" outlineLevel="0" collapsed="false">
      <c r="A279" s="25"/>
      <c r="E279" s="26"/>
      <c r="F279" s="27" t="str">
        <f aca="false">IF(B279="","",IFERROR(INDEX(Pessoas!$E:$E,MATCH(B279,Pessoas!$A:$A,0)),0))</f>
        <v/>
      </c>
      <c r="G279" s="27" t="str">
        <f aca="false">IF(E279="","",E279/60*F279)</f>
        <v/>
      </c>
    </row>
    <row r="280" customFormat="false" ht="15" hidden="false" customHeight="false" outlineLevel="0" collapsed="false">
      <c r="A280" s="25"/>
      <c r="E280" s="26"/>
      <c r="F280" s="27" t="str">
        <f aca="false">IF(B280="","",IFERROR(INDEX(Pessoas!$E:$E,MATCH(B280,Pessoas!$A:$A,0)),0))</f>
        <v/>
      </c>
      <c r="G280" s="27" t="str">
        <f aca="false">IF(E280="","",E280/60*F280)</f>
        <v/>
      </c>
    </row>
    <row r="281" customFormat="false" ht="15" hidden="false" customHeight="false" outlineLevel="0" collapsed="false">
      <c r="A281" s="25"/>
      <c r="E281" s="26"/>
      <c r="F281" s="27" t="str">
        <f aca="false">IF(B281="","",IFERROR(INDEX(Pessoas!$E:$E,MATCH(B281,Pessoas!$A:$A,0)),0))</f>
        <v/>
      </c>
      <c r="G281" s="27" t="str">
        <f aca="false">IF(E281="","",E281/60*F281)</f>
        <v/>
      </c>
    </row>
    <row r="282" customFormat="false" ht="15" hidden="false" customHeight="false" outlineLevel="0" collapsed="false">
      <c r="A282" s="25"/>
      <c r="E282" s="26"/>
      <c r="F282" s="27" t="str">
        <f aca="false">IF(B282="","",IFERROR(INDEX(Pessoas!$E:$E,MATCH(B282,Pessoas!$A:$A,0)),0))</f>
        <v/>
      </c>
      <c r="G282" s="27" t="str">
        <f aca="false">IF(E282="","",E282/60*F282)</f>
        <v/>
      </c>
    </row>
    <row r="283" customFormat="false" ht="15" hidden="false" customHeight="false" outlineLevel="0" collapsed="false">
      <c r="A283" s="25"/>
      <c r="E283" s="26"/>
      <c r="F283" s="27" t="str">
        <f aca="false">IF(B283="","",IFERROR(INDEX(Pessoas!$E:$E,MATCH(B283,Pessoas!$A:$A,0)),0))</f>
        <v/>
      </c>
      <c r="G283" s="27" t="str">
        <f aca="false">IF(E283="","",E283/60*F283)</f>
        <v/>
      </c>
    </row>
    <row r="284" customFormat="false" ht="15" hidden="false" customHeight="false" outlineLevel="0" collapsed="false">
      <c r="A284" s="25"/>
      <c r="E284" s="26"/>
      <c r="F284" s="27" t="str">
        <f aca="false">IF(B284="","",IFERROR(INDEX(Pessoas!$E:$E,MATCH(B284,Pessoas!$A:$A,0)),0))</f>
        <v/>
      </c>
      <c r="G284" s="27" t="str">
        <f aca="false">IF(E284="","",E284/60*F284)</f>
        <v/>
      </c>
    </row>
    <row r="285" customFormat="false" ht="15" hidden="false" customHeight="false" outlineLevel="0" collapsed="false">
      <c r="A285" s="25"/>
      <c r="E285" s="26"/>
      <c r="F285" s="27" t="str">
        <f aca="false">IF(B285="","",IFERROR(INDEX(Pessoas!$E:$E,MATCH(B285,Pessoas!$A:$A,0)),0))</f>
        <v/>
      </c>
      <c r="G285" s="27" t="str">
        <f aca="false">IF(E285="","",E285/60*F285)</f>
        <v/>
      </c>
    </row>
    <row r="286" customFormat="false" ht="15" hidden="false" customHeight="false" outlineLevel="0" collapsed="false">
      <c r="A286" s="25"/>
      <c r="E286" s="26"/>
      <c r="F286" s="27" t="str">
        <f aca="false">IF(B286="","",IFERROR(INDEX(Pessoas!$E:$E,MATCH(B286,Pessoas!$A:$A,0)),0))</f>
        <v/>
      </c>
      <c r="G286" s="27" t="str">
        <f aca="false">IF(E286="","",E286/60*F286)</f>
        <v/>
      </c>
    </row>
    <row r="287" customFormat="false" ht="15" hidden="false" customHeight="false" outlineLevel="0" collapsed="false">
      <c r="A287" s="25"/>
      <c r="E287" s="26"/>
      <c r="F287" s="27" t="str">
        <f aca="false">IF(B287="","",IFERROR(INDEX(Pessoas!$E:$E,MATCH(B287,Pessoas!$A:$A,0)),0))</f>
        <v/>
      </c>
      <c r="G287" s="27" t="str">
        <f aca="false">IF(E287="","",E287/60*F287)</f>
        <v/>
      </c>
    </row>
    <row r="288" customFormat="false" ht="15" hidden="false" customHeight="false" outlineLevel="0" collapsed="false">
      <c r="A288" s="25"/>
      <c r="E288" s="26"/>
      <c r="F288" s="27" t="str">
        <f aca="false">IF(B288="","",IFERROR(INDEX(Pessoas!$E:$E,MATCH(B288,Pessoas!$A:$A,0)),0))</f>
        <v/>
      </c>
      <c r="G288" s="27" t="str">
        <f aca="false">IF(E288="","",E288/60*F288)</f>
        <v/>
      </c>
    </row>
    <row r="289" customFormat="false" ht="15" hidden="false" customHeight="false" outlineLevel="0" collapsed="false">
      <c r="A289" s="25"/>
      <c r="E289" s="26"/>
      <c r="F289" s="27" t="str">
        <f aca="false">IF(B289="","",IFERROR(INDEX(Pessoas!$E:$E,MATCH(B289,Pessoas!$A:$A,0)),0))</f>
        <v/>
      </c>
      <c r="G289" s="27" t="str">
        <f aca="false">IF(E289="","",E289/60*F289)</f>
        <v/>
      </c>
    </row>
    <row r="290" customFormat="false" ht="15" hidden="false" customHeight="false" outlineLevel="0" collapsed="false">
      <c r="A290" s="25"/>
      <c r="E290" s="26"/>
      <c r="F290" s="27" t="str">
        <f aca="false">IF(B290="","",IFERROR(INDEX(Pessoas!$E:$E,MATCH(B290,Pessoas!$A:$A,0)),0))</f>
        <v/>
      </c>
      <c r="G290" s="27" t="str">
        <f aca="false">IF(E290="","",E290/60*F290)</f>
        <v/>
      </c>
    </row>
    <row r="291" customFormat="false" ht="15" hidden="false" customHeight="false" outlineLevel="0" collapsed="false">
      <c r="A291" s="25"/>
      <c r="E291" s="26"/>
      <c r="F291" s="27" t="str">
        <f aca="false">IF(B291="","",IFERROR(INDEX(Pessoas!$E:$E,MATCH(B291,Pessoas!$A:$A,0)),0))</f>
        <v/>
      </c>
      <c r="G291" s="27" t="str">
        <f aca="false">IF(E291="","",E291/60*F291)</f>
        <v/>
      </c>
    </row>
    <row r="292" customFormat="false" ht="15" hidden="false" customHeight="false" outlineLevel="0" collapsed="false">
      <c r="A292" s="25"/>
      <c r="E292" s="26"/>
      <c r="F292" s="27" t="str">
        <f aca="false">IF(B292="","",IFERROR(INDEX(Pessoas!$E:$E,MATCH(B292,Pessoas!$A:$A,0)),0))</f>
        <v/>
      </c>
      <c r="G292" s="27" t="str">
        <f aca="false">IF(E292="","",E292/60*F292)</f>
        <v/>
      </c>
    </row>
    <row r="293" customFormat="false" ht="15" hidden="false" customHeight="false" outlineLevel="0" collapsed="false">
      <c r="A293" s="25"/>
      <c r="E293" s="26"/>
      <c r="F293" s="27" t="str">
        <f aca="false">IF(B293="","",IFERROR(INDEX(Pessoas!$E:$E,MATCH(B293,Pessoas!$A:$A,0)),0))</f>
        <v/>
      </c>
      <c r="G293" s="27" t="str">
        <f aca="false">IF(E293="","",E293/60*F293)</f>
        <v/>
      </c>
    </row>
    <row r="294" customFormat="false" ht="15" hidden="false" customHeight="false" outlineLevel="0" collapsed="false">
      <c r="A294" s="25"/>
      <c r="E294" s="26"/>
      <c r="F294" s="27" t="str">
        <f aca="false">IF(B294="","",IFERROR(INDEX(Pessoas!$E:$E,MATCH(B294,Pessoas!$A:$A,0)),0))</f>
        <v/>
      </c>
      <c r="G294" s="27" t="str">
        <f aca="false">IF(E294="","",E294/60*F294)</f>
        <v/>
      </c>
    </row>
    <row r="295" customFormat="false" ht="15" hidden="false" customHeight="false" outlineLevel="0" collapsed="false">
      <c r="A295" s="25"/>
      <c r="E295" s="26"/>
      <c r="F295" s="27" t="str">
        <f aca="false">IF(B295="","",IFERROR(INDEX(Pessoas!$E:$E,MATCH(B295,Pessoas!$A:$A,0)),0))</f>
        <v/>
      </c>
      <c r="G295" s="27" t="str">
        <f aca="false">IF(E295="","",E295/60*F295)</f>
        <v/>
      </c>
    </row>
    <row r="296" customFormat="false" ht="15" hidden="false" customHeight="false" outlineLevel="0" collapsed="false">
      <c r="A296" s="25"/>
      <c r="E296" s="26"/>
      <c r="F296" s="27" t="str">
        <f aca="false">IF(B296="","",IFERROR(INDEX(Pessoas!$E:$E,MATCH(B296,Pessoas!$A:$A,0)),0))</f>
        <v/>
      </c>
      <c r="G296" s="27" t="str">
        <f aca="false">IF(E296="","",E296/60*F296)</f>
        <v/>
      </c>
    </row>
    <row r="297" customFormat="false" ht="15" hidden="false" customHeight="false" outlineLevel="0" collapsed="false">
      <c r="A297" s="25"/>
      <c r="E297" s="26"/>
      <c r="F297" s="27" t="str">
        <f aca="false">IF(B297="","",IFERROR(INDEX(Pessoas!$E:$E,MATCH(B297,Pessoas!$A:$A,0)),0))</f>
        <v/>
      </c>
      <c r="G297" s="27" t="str">
        <f aca="false">IF(E297="","",E297/60*F297)</f>
        <v/>
      </c>
    </row>
    <row r="298" customFormat="false" ht="15" hidden="false" customHeight="false" outlineLevel="0" collapsed="false">
      <c r="A298" s="25"/>
      <c r="E298" s="26"/>
      <c r="F298" s="27" t="str">
        <f aca="false">IF(B298="","",IFERROR(INDEX(Pessoas!$E:$E,MATCH(B298,Pessoas!$A:$A,0)),0))</f>
        <v/>
      </c>
      <c r="G298" s="27" t="str">
        <f aca="false">IF(E298="","",E298/60*F298)</f>
        <v/>
      </c>
    </row>
    <row r="299" customFormat="false" ht="15" hidden="false" customHeight="false" outlineLevel="0" collapsed="false">
      <c r="A299" s="25"/>
      <c r="E299" s="26"/>
      <c r="F299" s="27" t="str">
        <f aca="false">IF(B299="","",IFERROR(INDEX(Pessoas!$E:$E,MATCH(B299,Pessoas!$A:$A,0)),0))</f>
        <v/>
      </c>
      <c r="G299" s="27" t="str">
        <f aca="false">IF(E299="","",E299/60*F299)</f>
        <v/>
      </c>
    </row>
    <row r="300" customFormat="false" ht="15" hidden="false" customHeight="false" outlineLevel="0" collapsed="false">
      <c r="A300" s="25"/>
      <c r="E300" s="26"/>
      <c r="F300" s="27" t="str">
        <f aca="false">IF(B300="","",IFERROR(INDEX(Pessoas!$E:$E,MATCH(B300,Pessoas!$A:$A,0)),0))</f>
        <v/>
      </c>
      <c r="G300" s="27" t="str">
        <f aca="false">IF(E300="","",E300/60*F300)</f>
        <v/>
      </c>
    </row>
    <row r="301" customFormat="false" ht="15" hidden="false" customHeight="false" outlineLevel="0" collapsed="false">
      <c r="A301" s="25"/>
      <c r="E301" s="26"/>
      <c r="F301" s="27" t="str">
        <f aca="false">IF(B301="","",IFERROR(INDEX(Pessoas!$E:$E,MATCH(B301,Pessoas!$A:$A,0)),0))</f>
        <v/>
      </c>
      <c r="G301" s="27" t="str">
        <f aca="false">IF(E301="","",E301/60*F301)</f>
        <v/>
      </c>
    </row>
    <row r="302" customFormat="false" ht="15" hidden="false" customHeight="false" outlineLevel="0" collapsed="false">
      <c r="A302" s="25"/>
      <c r="E302" s="26"/>
      <c r="F302" s="27" t="str">
        <f aca="false">IF(B302="","",IFERROR(INDEX(Pessoas!$E:$E,MATCH(B302,Pessoas!$A:$A,0)),0))</f>
        <v/>
      </c>
      <c r="G302" s="27" t="str">
        <f aca="false">IF(E302="","",E302/60*F302)</f>
        <v/>
      </c>
    </row>
    <row r="303" customFormat="false" ht="15" hidden="false" customHeight="false" outlineLevel="0" collapsed="false">
      <c r="A303" s="25"/>
      <c r="E303" s="26"/>
      <c r="F303" s="27" t="str">
        <f aca="false">IF(B303="","",IFERROR(INDEX(Pessoas!$E:$E,MATCH(B303,Pessoas!$A:$A,0)),0))</f>
        <v/>
      </c>
      <c r="G303" s="27" t="str">
        <f aca="false">IF(E303="","",E303/60*F303)</f>
        <v/>
      </c>
    </row>
    <row r="304" customFormat="false" ht="15" hidden="false" customHeight="false" outlineLevel="0" collapsed="false">
      <c r="A304" s="25"/>
      <c r="E304" s="26"/>
      <c r="F304" s="27" t="str">
        <f aca="false">IF(B304="","",IFERROR(INDEX(Pessoas!$E:$E,MATCH(B304,Pessoas!$A:$A,0)),0))</f>
        <v/>
      </c>
      <c r="G304" s="27" t="str">
        <f aca="false">IF(E304="","",E304/60*F304)</f>
        <v/>
      </c>
    </row>
    <row r="305" customFormat="false" ht="15" hidden="false" customHeight="false" outlineLevel="0" collapsed="false">
      <c r="A305" s="25"/>
      <c r="E305" s="26"/>
      <c r="F305" s="27" t="str">
        <f aca="false">IF(B305="","",IFERROR(INDEX(Pessoas!$E:$E,MATCH(B305,Pessoas!$A:$A,0)),0))</f>
        <v/>
      </c>
      <c r="G305" s="27" t="str">
        <f aca="false">IF(E305="","",E305/60*F305)</f>
        <v/>
      </c>
    </row>
    <row r="306" customFormat="false" ht="15" hidden="false" customHeight="false" outlineLevel="0" collapsed="false">
      <c r="A306" s="25"/>
      <c r="E306" s="26"/>
      <c r="F306" s="27" t="str">
        <f aca="false">IF(B306="","",IFERROR(INDEX(Pessoas!$E:$E,MATCH(B306,Pessoas!$A:$A,0)),0))</f>
        <v/>
      </c>
      <c r="G306" s="27" t="str">
        <f aca="false">IF(E306="","",E306/60*F306)</f>
        <v/>
      </c>
    </row>
    <row r="307" customFormat="false" ht="15" hidden="false" customHeight="false" outlineLevel="0" collapsed="false">
      <c r="A307" s="25"/>
      <c r="E307" s="26"/>
      <c r="F307" s="27" t="str">
        <f aca="false">IF(B307="","",IFERROR(INDEX(Pessoas!$E:$E,MATCH(B307,Pessoas!$A:$A,0)),0))</f>
        <v/>
      </c>
      <c r="G307" s="27" t="str">
        <f aca="false">IF(E307="","",E307/60*F307)</f>
        <v/>
      </c>
    </row>
    <row r="308" customFormat="false" ht="15" hidden="false" customHeight="false" outlineLevel="0" collapsed="false">
      <c r="A308" s="25"/>
      <c r="E308" s="26"/>
      <c r="F308" s="27" t="str">
        <f aca="false">IF(B308="","",IFERROR(INDEX(Pessoas!$E:$E,MATCH(B308,Pessoas!$A:$A,0)),0))</f>
        <v/>
      </c>
      <c r="G308" s="27" t="str">
        <f aca="false">IF(E308="","",E308/60*F308)</f>
        <v/>
      </c>
    </row>
    <row r="309" customFormat="false" ht="15" hidden="false" customHeight="false" outlineLevel="0" collapsed="false">
      <c r="A309" s="25"/>
      <c r="E309" s="26"/>
      <c r="F309" s="27" t="str">
        <f aca="false">IF(B309="","",IFERROR(INDEX(Pessoas!$E:$E,MATCH(B309,Pessoas!$A:$A,0)),0))</f>
        <v/>
      </c>
      <c r="G309" s="27" t="str">
        <f aca="false">IF(E309="","",E309/60*F309)</f>
        <v/>
      </c>
    </row>
    <row r="310" customFormat="false" ht="15" hidden="false" customHeight="false" outlineLevel="0" collapsed="false">
      <c r="A310" s="25"/>
      <c r="E310" s="26"/>
      <c r="F310" s="27" t="str">
        <f aca="false">IF(B310="","",IFERROR(INDEX(Pessoas!$E:$E,MATCH(B310,Pessoas!$A:$A,0)),0))</f>
        <v/>
      </c>
      <c r="G310" s="27" t="str">
        <f aca="false">IF(E310="","",E310/60*F310)</f>
        <v/>
      </c>
    </row>
    <row r="311" customFormat="false" ht="15" hidden="false" customHeight="false" outlineLevel="0" collapsed="false">
      <c r="A311" s="25"/>
      <c r="E311" s="26"/>
      <c r="F311" s="27" t="str">
        <f aca="false">IF(B311="","",IFERROR(INDEX(Pessoas!$E:$E,MATCH(B311,Pessoas!$A:$A,0)),0))</f>
        <v/>
      </c>
      <c r="G311" s="27" t="str">
        <f aca="false">IF(E311="","",E311/60*F311)</f>
        <v/>
      </c>
    </row>
    <row r="312" customFormat="false" ht="15" hidden="false" customHeight="false" outlineLevel="0" collapsed="false">
      <c r="A312" s="25"/>
      <c r="E312" s="26"/>
      <c r="F312" s="27" t="str">
        <f aca="false">IF(B312="","",IFERROR(INDEX(Pessoas!$E:$E,MATCH(B312,Pessoas!$A:$A,0)),0))</f>
        <v/>
      </c>
      <c r="G312" s="27" t="str">
        <f aca="false">IF(E312="","",E312/60*F312)</f>
        <v/>
      </c>
    </row>
    <row r="313" customFormat="false" ht="15" hidden="false" customHeight="false" outlineLevel="0" collapsed="false">
      <c r="A313" s="25"/>
      <c r="E313" s="26"/>
      <c r="F313" s="27" t="str">
        <f aca="false">IF(B313="","",IFERROR(INDEX(Pessoas!$E:$E,MATCH(B313,Pessoas!$A:$A,0)),0))</f>
        <v/>
      </c>
      <c r="G313" s="27" t="str">
        <f aca="false">IF(E313="","",E313/60*F313)</f>
        <v/>
      </c>
    </row>
    <row r="314" customFormat="false" ht="15" hidden="false" customHeight="false" outlineLevel="0" collapsed="false">
      <c r="A314" s="25"/>
      <c r="E314" s="26"/>
      <c r="F314" s="27" t="str">
        <f aca="false">IF(B314="","",IFERROR(INDEX(Pessoas!$E:$E,MATCH(B314,Pessoas!$A:$A,0)),0))</f>
        <v/>
      </c>
      <c r="G314" s="27" t="str">
        <f aca="false">IF(E314="","",E314/60*F314)</f>
        <v/>
      </c>
    </row>
    <row r="315" customFormat="false" ht="15" hidden="false" customHeight="false" outlineLevel="0" collapsed="false">
      <c r="A315" s="25"/>
      <c r="E315" s="26"/>
      <c r="F315" s="27" t="str">
        <f aca="false">IF(B315="","",IFERROR(INDEX(Pessoas!$E:$E,MATCH(B315,Pessoas!$A:$A,0)),0))</f>
        <v/>
      </c>
      <c r="G315" s="27" t="str">
        <f aca="false">IF(E315="","",E315/60*F315)</f>
        <v/>
      </c>
    </row>
    <row r="316" customFormat="false" ht="15" hidden="false" customHeight="false" outlineLevel="0" collapsed="false">
      <c r="A316" s="25"/>
      <c r="E316" s="26"/>
      <c r="F316" s="27" t="str">
        <f aca="false">IF(B316="","",IFERROR(INDEX(Pessoas!$E:$E,MATCH(B316,Pessoas!$A:$A,0)),0))</f>
        <v/>
      </c>
      <c r="G316" s="27" t="str">
        <f aca="false">IF(E316="","",E316/60*F316)</f>
        <v/>
      </c>
    </row>
    <row r="317" customFormat="false" ht="15" hidden="false" customHeight="false" outlineLevel="0" collapsed="false">
      <c r="A317" s="25"/>
      <c r="E317" s="26"/>
      <c r="F317" s="27" t="str">
        <f aca="false">IF(B317="","",IFERROR(INDEX(Pessoas!$E:$E,MATCH(B317,Pessoas!$A:$A,0)),0))</f>
        <v/>
      </c>
      <c r="G317" s="27" t="str">
        <f aca="false">IF(E317="","",E317/60*F317)</f>
        <v/>
      </c>
    </row>
    <row r="318" customFormat="false" ht="15" hidden="false" customHeight="false" outlineLevel="0" collapsed="false">
      <c r="A318" s="25"/>
      <c r="E318" s="26"/>
      <c r="F318" s="27" t="str">
        <f aca="false">IF(B318="","",IFERROR(INDEX(Pessoas!$E:$E,MATCH(B318,Pessoas!$A:$A,0)),0))</f>
        <v/>
      </c>
      <c r="G318" s="27" t="str">
        <f aca="false">IF(E318="","",E318/60*F318)</f>
        <v/>
      </c>
    </row>
    <row r="319" customFormat="false" ht="15" hidden="false" customHeight="false" outlineLevel="0" collapsed="false">
      <c r="A319" s="25"/>
      <c r="E319" s="26"/>
      <c r="F319" s="27" t="str">
        <f aca="false">IF(B319="","",IFERROR(INDEX(Pessoas!$E:$E,MATCH(B319,Pessoas!$A:$A,0)),0))</f>
        <v/>
      </c>
      <c r="G319" s="27" t="str">
        <f aca="false">IF(E319="","",E319/60*F319)</f>
        <v/>
      </c>
    </row>
    <row r="320" customFormat="false" ht="15" hidden="false" customHeight="false" outlineLevel="0" collapsed="false">
      <c r="A320" s="25"/>
      <c r="E320" s="26"/>
      <c r="F320" s="27" t="str">
        <f aca="false">IF(B320="","",IFERROR(INDEX(Pessoas!$E:$E,MATCH(B320,Pessoas!$A:$A,0)),0))</f>
        <v/>
      </c>
      <c r="G320" s="27" t="str">
        <f aca="false">IF(E320="","",E320/60*F320)</f>
        <v/>
      </c>
    </row>
    <row r="321" customFormat="false" ht="15" hidden="false" customHeight="false" outlineLevel="0" collapsed="false">
      <c r="A321" s="25"/>
      <c r="E321" s="26"/>
      <c r="F321" s="27" t="str">
        <f aca="false">IF(B321="","",IFERROR(INDEX(Pessoas!$E:$E,MATCH(B321,Pessoas!$A:$A,0)),0))</f>
        <v/>
      </c>
      <c r="G321" s="27" t="str">
        <f aca="false">IF(E321="","",E321/60*F321)</f>
        <v/>
      </c>
    </row>
    <row r="322" customFormat="false" ht="15" hidden="false" customHeight="false" outlineLevel="0" collapsed="false">
      <c r="A322" s="25"/>
      <c r="E322" s="26"/>
      <c r="F322" s="27" t="str">
        <f aca="false">IF(B322="","",IFERROR(INDEX(Pessoas!$E:$E,MATCH(B322,Pessoas!$A:$A,0)),0))</f>
        <v/>
      </c>
      <c r="G322" s="27" t="str">
        <f aca="false">IF(E322="","",E322/60*F322)</f>
        <v/>
      </c>
    </row>
    <row r="323" customFormat="false" ht="15" hidden="false" customHeight="false" outlineLevel="0" collapsed="false">
      <c r="A323" s="25"/>
      <c r="E323" s="26"/>
      <c r="F323" s="27" t="str">
        <f aca="false">IF(B323="","",IFERROR(INDEX(Pessoas!$E:$E,MATCH(B323,Pessoas!$A:$A,0)),0))</f>
        <v/>
      </c>
      <c r="G323" s="27" t="str">
        <f aca="false">IF(E323="","",E323/60*F323)</f>
        <v/>
      </c>
    </row>
    <row r="324" customFormat="false" ht="15" hidden="false" customHeight="false" outlineLevel="0" collapsed="false">
      <c r="A324" s="25"/>
      <c r="E324" s="26"/>
      <c r="F324" s="27" t="str">
        <f aca="false">IF(B324="","",IFERROR(INDEX(Pessoas!$E:$E,MATCH(B324,Pessoas!$A:$A,0)),0))</f>
        <v/>
      </c>
      <c r="G324" s="27" t="str">
        <f aca="false">IF(E324="","",E324/60*F324)</f>
        <v/>
      </c>
    </row>
    <row r="325" customFormat="false" ht="15" hidden="false" customHeight="false" outlineLevel="0" collapsed="false">
      <c r="A325" s="25"/>
      <c r="E325" s="26"/>
      <c r="F325" s="27" t="str">
        <f aca="false">IF(B325="","",IFERROR(INDEX(Pessoas!$E:$E,MATCH(B325,Pessoas!$A:$A,0)),0))</f>
        <v/>
      </c>
      <c r="G325" s="27" t="str">
        <f aca="false">IF(E325="","",E325/60*F325)</f>
        <v/>
      </c>
    </row>
    <row r="326" customFormat="false" ht="15" hidden="false" customHeight="false" outlineLevel="0" collapsed="false">
      <c r="A326" s="25"/>
      <c r="E326" s="26"/>
      <c r="F326" s="27" t="str">
        <f aca="false">IF(B326="","",IFERROR(INDEX(Pessoas!$E:$E,MATCH(B326,Pessoas!$A:$A,0)),0))</f>
        <v/>
      </c>
      <c r="G326" s="27" t="str">
        <f aca="false">IF(E326="","",E326/60*F326)</f>
        <v/>
      </c>
    </row>
    <row r="327" customFormat="false" ht="15" hidden="false" customHeight="false" outlineLevel="0" collapsed="false">
      <c r="A327" s="25"/>
      <c r="E327" s="26"/>
      <c r="F327" s="27" t="str">
        <f aca="false">IF(B327="","",IFERROR(INDEX(Pessoas!$E:$E,MATCH(B327,Pessoas!$A:$A,0)),0))</f>
        <v/>
      </c>
      <c r="G327" s="27" t="str">
        <f aca="false">IF(E327="","",E327/60*F327)</f>
        <v/>
      </c>
    </row>
    <row r="328" customFormat="false" ht="15" hidden="false" customHeight="false" outlineLevel="0" collapsed="false">
      <c r="A328" s="25"/>
      <c r="E328" s="26"/>
      <c r="F328" s="27" t="str">
        <f aca="false">IF(B328="","",IFERROR(INDEX(Pessoas!$E:$E,MATCH(B328,Pessoas!$A:$A,0)),0))</f>
        <v/>
      </c>
      <c r="G328" s="27" t="str">
        <f aca="false">IF(E328="","",E328/60*F328)</f>
        <v/>
      </c>
    </row>
    <row r="329" customFormat="false" ht="15" hidden="false" customHeight="false" outlineLevel="0" collapsed="false">
      <c r="A329" s="25"/>
      <c r="E329" s="26"/>
      <c r="F329" s="27" t="str">
        <f aca="false">IF(B329="","",IFERROR(INDEX(Pessoas!$E:$E,MATCH(B329,Pessoas!$A:$A,0)),0))</f>
        <v/>
      </c>
      <c r="G329" s="27" t="str">
        <f aca="false">IF(E329="","",E329/60*F329)</f>
        <v/>
      </c>
    </row>
    <row r="330" customFormat="false" ht="15" hidden="false" customHeight="false" outlineLevel="0" collapsed="false">
      <c r="A330" s="25"/>
      <c r="E330" s="26"/>
      <c r="F330" s="27" t="str">
        <f aca="false">IF(B330="","",IFERROR(INDEX(Pessoas!$E:$E,MATCH(B330,Pessoas!$A:$A,0)),0))</f>
        <v/>
      </c>
      <c r="G330" s="27" t="str">
        <f aca="false">IF(E330="","",E330/60*F330)</f>
        <v/>
      </c>
    </row>
    <row r="331" customFormat="false" ht="15" hidden="false" customHeight="false" outlineLevel="0" collapsed="false">
      <c r="A331" s="25"/>
      <c r="E331" s="26"/>
      <c r="F331" s="27" t="str">
        <f aca="false">IF(B331="","",IFERROR(INDEX(Pessoas!$E:$E,MATCH(B331,Pessoas!$A:$A,0)),0))</f>
        <v/>
      </c>
      <c r="G331" s="27" t="str">
        <f aca="false">IF(E331="","",E331/60*F331)</f>
        <v/>
      </c>
    </row>
    <row r="332" customFormat="false" ht="15" hidden="false" customHeight="false" outlineLevel="0" collapsed="false">
      <c r="A332" s="25"/>
      <c r="E332" s="26"/>
      <c r="F332" s="27" t="str">
        <f aca="false">IF(B332="","",IFERROR(INDEX(Pessoas!$E:$E,MATCH(B332,Pessoas!$A:$A,0)),0))</f>
        <v/>
      </c>
      <c r="G332" s="27" t="str">
        <f aca="false">IF(E332="","",E332/60*F332)</f>
        <v/>
      </c>
    </row>
    <row r="333" customFormat="false" ht="15" hidden="false" customHeight="false" outlineLevel="0" collapsed="false">
      <c r="A333" s="25"/>
      <c r="E333" s="26"/>
      <c r="F333" s="27" t="str">
        <f aca="false">IF(B333="","",IFERROR(INDEX(Pessoas!$E:$E,MATCH(B333,Pessoas!$A:$A,0)),0))</f>
        <v/>
      </c>
      <c r="G333" s="27" t="str">
        <f aca="false">IF(E333="","",E333/60*F333)</f>
        <v/>
      </c>
    </row>
    <row r="334" customFormat="false" ht="15" hidden="false" customHeight="false" outlineLevel="0" collapsed="false">
      <c r="A334" s="25"/>
      <c r="E334" s="26"/>
      <c r="F334" s="27" t="str">
        <f aca="false">IF(B334="","",IFERROR(INDEX(Pessoas!$E:$E,MATCH(B334,Pessoas!$A:$A,0)),0))</f>
        <v/>
      </c>
      <c r="G334" s="27" t="str">
        <f aca="false">IF(E334="","",E334/60*F334)</f>
        <v/>
      </c>
    </row>
    <row r="335" customFormat="false" ht="15" hidden="false" customHeight="false" outlineLevel="0" collapsed="false">
      <c r="A335" s="25"/>
      <c r="E335" s="26"/>
      <c r="F335" s="27" t="str">
        <f aca="false">IF(B335="","",IFERROR(INDEX(Pessoas!$E:$E,MATCH(B335,Pessoas!$A:$A,0)),0))</f>
        <v/>
      </c>
      <c r="G335" s="27" t="str">
        <f aca="false">IF(E335="","",E335/60*F335)</f>
        <v/>
      </c>
    </row>
    <row r="336" customFormat="false" ht="15" hidden="false" customHeight="false" outlineLevel="0" collapsed="false">
      <c r="A336" s="25"/>
      <c r="E336" s="26"/>
      <c r="F336" s="27" t="str">
        <f aca="false">IF(B336="","",IFERROR(INDEX(Pessoas!$E:$E,MATCH(B336,Pessoas!$A:$A,0)),0))</f>
        <v/>
      </c>
      <c r="G336" s="27" t="str">
        <f aca="false">IF(E336="","",E336/60*F336)</f>
        <v/>
      </c>
    </row>
    <row r="337" customFormat="false" ht="15" hidden="false" customHeight="false" outlineLevel="0" collapsed="false">
      <c r="A337" s="25"/>
      <c r="E337" s="26"/>
      <c r="F337" s="27" t="str">
        <f aca="false">IF(B337="","",IFERROR(INDEX(Pessoas!$E:$E,MATCH(B337,Pessoas!$A:$A,0)),0))</f>
        <v/>
      </c>
      <c r="G337" s="27" t="str">
        <f aca="false">IF(E337="","",E337/60*F337)</f>
        <v/>
      </c>
    </row>
    <row r="338" customFormat="false" ht="15" hidden="false" customHeight="false" outlineLevel="0" collapsed="false">
      <c r="A338" s="25"/>
      <c r="E338" s="26"/>
      <c r="F338" s="27" t="str">
        <f aca="false">IF(B338="","",IFERROR(INDEX(Pessoas!$E:$E,MATCH(B338,Pessoas!$A:$A,0)),0))</f>
        <v/>
      </c>
      <c r="G338" s="27" t="str">
        <f aca="false">IF(E338="","",E338/60*F338)</f>
        <v/>
      </c>
    </row>
    <row r="339" customFormat="false" ht="15" hidden="false" customHeight="false" outlineLevel="0" collapsed="false">
      <c r="A339" s="25"/>
      <c r="E339" s="26"/>
      <c r="F339" s="27" t="str">
        <f aca="false">IF(B339="","",IFERROR(INDEX(Pessoas!$E:$E,MATCH(B339,Pessoas!$A:$A,0)),0))</f>
        <v/>
      </c>
      <c r="G339" s="27" t="str">
        <f aca="false">IF(E339="","",E339/60*F339)</f>
        <v/>
      </c>
    </row>
    <row r="340" customFormat="false" ht="15" hidden="false" customHeight="false" outlineLevel="0" collapsed="false">
      <c r="A340" s="25"/>
      <c r="E340" s="26"/>
      <c r="F340" s="27" t="str">
        <f aca="false">IF(B340="","",IFERROR(INDEX(Pessoas!$E:$E,MATCH(B340,Pessoas!$A:$A,0)),0))</f>
        <v/>
      </c>
      <c r="G340" s="27" t="str">
        <f aca="false">IF(E340="","",E340/60*F340)</f>
        <v/>
      </c>
    </row>
    <row r="341" customFormat="false" ht="15" hidden="false" customHeight="false" outlineLevel="0" collapsed="false">
      <c r="A341" s="25"/>
      <c r="E341" s="26"/>
      <c r="F341" s="27" t="str">
        <f aca="false">IF(B341="","",IFERROR(INDEX(Pessoas!$E:$E,MATCH(B341,Pessoas!$A:$A,0)),0))</f>
        <v/>
      </c>
      <c r="G341" s="27" t="str">
        <f aca="false">IF(E341="","",E341/60*F341)</f>
        <v/>
      </c>
    </row>
    <row r="342" customFormat="false" ht="15" hidden="false" customHeight="false" outlineLevel="0" collapsed="false">
      <c r="A342" s="25"/>
      <c r="E342" s="26"/>
      <c r="F342" s="27" t="str">
        <f aca="false">IF(B342="","",IFERROR(INDEX(Pessoas!$E:$E,MATCH(B342,Pessoas!$A:$A,0)),0))</f>
        <v/>
      </c>
      <c r="G342" s="27" t="str">
        <f aca="false">IF(E342="","",E342/60*F342)</f>
        <v/>
      </c>
    </row>
    <row r="343" customFormat="false" ht="15" hidden="false" customHeight="false" outlineLevel="0" collapsed="false">
      <c r="A343" s="25"/>
      <c r="E343" s="26"/>
      <c r="F343" s="27" t="str">
        <f aca="false">IF(B343="","",IFERROR(INDEX(Pessoas!$E:$E,MATCH(B343,Pessoas!$A:$A,0)),0))</f>
        <v/>
      </c>
      <c r="G343" s="27" t="str">
        <f aca="false">IF(E343="","",E343/60*F343)</f>
        <v/>
      </c>
    </row>
    <row r="344" customFormat="false" ht="15" hidden="false" customHeight="false" outlineLevel="0" collapsed="false">
      <c r="A344" s="25"/>
      <c r="E344" s="26"/>
      <c r="F344" s="27" t="str">
        <f aca="false">IF(B344="","",IFERROR(INDEX(Pessoas!$E:$E,MATCH(B344,Pessoas!$A:$A,0)),0))</f>
        <v/>
      </c>
      <c r="G344" s="27" t="str">
        <f aca="false">IF(E344="","",E344/60*F344)</f>
        <v/>
      </c>
    </row>
    <row r="345" customFormat="false" ht="15" hidden="false" customHeight="false" outlineLevel="0" collapsed="false">
      <c r="A345" s="25"/>
      <c r="E345" s="26"/>
      <c r="F345" s="27" t="str">
        <f aca="false">IF(B345="","",IFERROR(INDEX(Pessoas!$E:$E,MATCH(B345,Pessoas!$A:$A,0)),0))</f>
        <v/>
      </c>
      <c r="G345" s="27" t="str">
        <f aca="false">IF(E345="","",E345/60*F345)</f>
        <v/>
      </c>
    </row>
    <row r="346" customFormat="false" ht="15" hidden="false" customHeight="false" outlineLevel="0" collapsed="false">
      <c r="A346" s="25"/>
      <c r="E346" s="26"/>
      <c r="F346" s="27" t="str">
        <f aca="false">IF(B346="","",IFERROR(INDEX(Pessoas!$E:$E,MATCH(B346,Pessoas!$A:$A,0)),0))</f>
        <v/>
      </c>
      <c r="G346" s="27" t="str">
        <f aca="false">IF(E346="","",E346/60*F346)</f>
        <v/>
      </c>
    </row>
    <row r="347" customFormat="false" ht="15" hidden="false" customHeight="false" outlineLevel="0" collapsed="false">
      <c r="A347" s="25"/>
      <c r="E347" s="26"/>
      <c r="F347" s="27" t="str">
        <f aca="false">IF(B347="","",IFERROR(INDEX(Pessoas!$E:$E,MATCH(B347,Pessoas!$A:$A,0)),0))</f>
        <v/>
      </c>
      <c r="G347" s="27" t="str">
        <f aca="false">IF(E347="","",E347/60*F347)</f>
        <v/>
      </c>
    </row>
    <row r="348" customFormat="false" ht="15" hidden="false" customHeight="false" outlineLevel="0" collapsed="false">
      <c r="A348" s="25"/>
      <c r="E348" s="26"/>
      <c r="F348" s="27" t="str">
        <f aca="false">IF(B348="","",IFERROR(INDEX(Pessoas!$E:$E,MATCH(B348,Pessoas!$A:$A,0)),0))</f>
        <v/>
      </c>
      <c r="G348" s="27" t="str">
        <f aca="false">IF(E348="","",E348/60*F348)</f>
        <v/>
      </c>
    </row>
    <row r="349" customFormat="false" ht="15" hidden="false" customHeight="false" outlineLevel="0" collapsed="false">
      <c r="A349" s="25"/>
      <c r="E349" s="26"/>
      <c r="F349" s="27" t="str">
        <f aca="false">IF(B349="","",IFERROR(INDEX(Pessoas!$E:$E,MATCH(B349,Pessoas!$A:$A,0)),0))</f>
        <v/>
      </c>
      <c r="G349" s="27" t="str">
        <f aca="false">IF(E349="","",E349/60*F349)</f>
        <v/>
      </c>
    </row>
    <row r="350" customFormat="false" ht="15" hidden="false" customHeight="false" outlineLevel="0" collapsed="false">
      <c r="A350" s="25"/>
      <c r="E350" s="26"/>
      <c r="F350" s="27" t="str">
        <f aca="false">IF(B350="","",IFERROR(INDEX(Pessoas!$E:$E,MATCH(B350,Pessoas!$A:$A,0)),0))</f>
        <v/>
      </c>
      <c r="G350" s="27" t="str">
        <f aca="false">IF(E350="","",E350/60*F350)</f>
        <v/>
      </c>
    </row>
    <row r="351" customFormat="false" ht="15" hidden="false" customHeight="false" outlineLevel="0" collapsed="false">
      <c r="A351" s="25"/>
      <c r="E351" s="26"/>
      <c r="F351" s="27" t="str">
        <f aca="false">IF(B351="","",IFERROR(INDEX(Pessoas!$E:$E,MATCH(B351,Pessoas!$A:$A,0)),0))</f>
        <v/>
      </c>
      <c r="G351" s="27" t="str">
        <f aca="false">IF(E351="","",E351/60*F351)</f>
        <v/>
      </c>
    </row>
    <row r="352" customFormat="false" ht="15" hidden="false" customHeight="false" outlineLevel="0" collapsed="false">
      <c r="A352" s="25"/>
      <c r="E352" s="26"/>
      <c r="F352" s="27" t="str">
        <f aca="false">IF(B352="","",IFERROR(INDEX(Pessoas!$E:$E,MATCH(B352,Pessoas!$A:$A,0)),0))</f>
        <v/>
      </c>
      <c r="G352" s="27" t="str">
        <f aca="false">IF(E352="","",E352/60*F352)</f>
        <v/>
      </c>
    </row>
    <row r="353" customFormat="false" ht="15" hidden="false" customHeight="false" outlineLevel="0" collapsed="false">
      <c r="A353" s="25"/>
      <c r="E353" s="26"/>
      <c r="F353" s="27" t="str">
        <f aca="false">IF(B353="","",IFERROR(INDEX(Pessoas!$E:$E,MATCH(B353,Pessoas!$A:$A,0)),0))</f>
        <v/>
      </c>
      <c r="G353" s="27" t="str">
        <f aca="false">IF(E353="","",E353/60*F353)</f>
        <v/>
      </c>
    </row>
    <row r="354" customFormat="false" ht="15" hidden="false" customHeight="false" outlineLevel="0" collapsed="false">
      <c r="A354" s="25"/>
      <c r="E354" s="26"/>
      <c r="F354" s="27" t="str">
        <f aca="false">IF(B354="","",IFERROR(INDEX(Pessoas!$E:$E,MATCH(B354,Pessoas!$A:$A,0)),0))</f>
        <v/>
      </c>
      <c r="G354" s="27" t="str">
        <f aca="false">IF(E354="","",E354/60*F354)</f>
        <v/>
      </c>
    </row>
    <row r="355" customFormat="false" ht="15" hidden="false" customHeight="false" outlineLevel="0" collapsed="false">
      <c r="A355" s="25"/>
      <c r="E355" s="26"/>
      <c r="F355" s="27" t="str">
        <f aca="false">IF(B355="","",IFERROR(INDEX(Pessoas!$E:$E,MATCH(B355,Pessoas!$A:$A,0)),0))</f>
        <v/>
      </c>
      <c r="G355" s="27" t="str">
        <f aca="false">IF(E355="","",E355/60*F355)</f>
        <v/>
      </c>
    </row>
    <row r="356" customFormat="false" ht="15" hidden="false" customHeight="false" outlineLevel="0" collapsed="false">
      <c r="A356" s="25"/>
      <c r="E356" s="26"/>
      <c r="F356" s="27" t="str">
        <f aca="false">IF(B356="","",IFERROR(INDEX(Pessoas!$E:$E,MATCH(B356,Pessoas!$A:$A,0)),0))</f>
        <v/>
      </c>
      <c r="G356" s="27" t="str">
        <f aca="false">IF(E356="","",E356/60*F356)</f>
        <v/>
      </c>
    </row>
    <row r="357" customFormat="false" ht="15" hidden="false" customHeight="false" outlineLevel="0" collapsed="false">
      <c r="A357" s="25"/>
      <c r="E357" s="26"/>
      <c r="F357" s="27" t="str">
        <f aca="false">IF(B357="","",IFERROR(INDEX(Pessoas!$E:$E,MATCH(B357,Pessoas!$A:$A,0)),0))</f>
        <v/>
      </c>
      <c r="G357" s="27" t="str">
        <f aca="false">IF(E357="","",E357/60*F357)</f>
        <v/>
      </c>
    </row>
    <row r="358" customFormat="false" ht="15" hidden="false" customHeight="false" outlineLevel="0" collapsed="false">
      <c r="A358" s="25"/>
      <c r="E358" s="26"/>
      <c r="F358" s="27" t="str">
        <f aca="false">IF(B358="","",IFERROR(INDEX(Pessoas!$E:$E,MATCH(B358,Pessoas!$A:$A,0)),0))</f>
        <v/>
      </c>
      <c r="G358" s="27" t="str">
        <f aca="false">IF(E358="","",E358/60*F358)</f>
        <v/>
      </c>
    </row>
    <row r="359" customFormat="false" ht="15" hidden="false" customHeight="false" outlineLevel="0" collapsed="false">
      <c r="A359" s="25"/>
      <c r="E359" s="26"/>
      <c r="F359" s="27" t="str">
        <f aca="false">IF(B359="","",IFERROR(INDEX(Pessoas!$E:$E,MATCH(B359,Pessoas!$A:$A,0)),0))</f>
        <v/>
      </c>
      <c r="G359" s="27" t="str">
        <f aca="false">IF(E359="","",E359/60*F359)</f>
        <v/>
      </c>
    </row>
    <row r="360" customFormat="false" ht="15" hidden="false" customHeight="false" outlineLevel="0" collapsed="false">
      <c r="A360" s="25"/>
      <c r="E360" s="26"/>
      <c r="F360" s="27" t="str">
        <f aca="false">IF(B360="","",IFERROR(INDEX(Pessoas!$E:$E,MATCH(B360,Pessoas!$A:$A,0)),0))</f>
        <v/>
      </c>
      <c r="G360" s="27" t="str">
        <f aca="false">IF(E360="","",E360/60*F360)</f>
        <v/>
      </c>
    </row>
    <row r="361" customFormat="false" ht="15" hidden="false" customHeight="false" outlineLevel="0" collapsed="false">
      <c r="A361" s="25"/>
      <c r="E361" s="26"/>
      <c r="F361" s="27" t="str">
        <f aca="false">IF(B361="","",IFERROR(INDEX(Pessoas!$E:$E,MATCH(B361,Pessoas!$A:$A,0)),0))</f>
        <v/>
      </c>
      <c r="G361" s="27" t="str">
        <f aca="false">IF(E361="","",E361/60*F361)</f>
        <v/>
      </c>
    </row>
    <row r="362" customFormat="false" ht="15" hidden="false" customHeight="false" outlineLevel="0" collapsed="false">
      <c r="A362" s="25"/>
      <c r="E362" s="26"/>
      <c r="F362" s="27" t="str">
        <f aca="false">IF(B362="","",IFERROR(INDEX(Pessoas!$E:$E,MATCH(B362,Pessoas!$A:$A,0)),0))</f>
        <v/>
      </c>
      <c r="G362" s="27" t="str">
        <f aca="false">IF(E362="","",E362/60*F362)</f>
        <v/>
      </c>
    </row>
    <row r="363" customFormat="false" ht="15" hidden="false" customHeight="false" outlineLevel="0" collapsed="false">
      <c r="A363" s="25"/>
      <c r="E363" s="26"/>
      <c r="F363" s="27" t="str">
        <f aca="false">IF(B363="","",IFERROR(INDEX(Pessoas!$E:$E,MATCH(B363,Pessoas!$A:$A,0)),0))</f>
        <v/>
      </c>
      <c r="G363" s="27" t="str">
        <f aca="false">IF(E363="","",E363/60*F363)</f>
        <v/>
      </c>
    </row>
    <row r="364" customFormat="false" ht="15" hidden="false" customHeight="false" outlineLevel="0" collapsed="false">
      <c r="A364" s="25"/>
      <c r="E364" s="26"/>
      <c r="F364" s="27" t="str">
        <f aca="false">IF(B364="","",IFERROR(INDEX(Pessoas!$E:$E,MATCH(B364,Pessoas!$A:$A,0)),0))</f>
        <v/>
      </c>
      <c r="G364" s="27" t="str">
        <f aca="false">IF(E364="","",E364/60*F364)</f>
        <v/>
      </c>
    </row>
    <row r="365" customFormat="false" ht="15" hidden="false" customHeight="false" outlineLevel="0" collapsed="false">
      <c r="A365" s="25"/>
      <c r="E365" s="26"/>
      <c r="F365" s="27" t="str">
        <f aca="false">IF(B365="","",IFERROR(INDEX(Pessoas!$E:$E,MATCH(B365,Pessoas!$A:$A,0)),0))</f>
        <v/>
      </c>
      <c r="G365" s="27" t="str">
        <f aca="false">IF(E365="","",E365/60*F365)</f>
        <v/>
      </c>
    </row>
    <row r="366" customFormat="false" ht="15" hidden="false" customHeight="false" outlineLevel="0" collapsed="false">
      <c r="A366" s="25"/>
      <c r="E366" s="26"/>
      <c r="F366" s="27" t="str">
        <f aca="false">IF(B366="","",IFERROR(INDEX(Pessoas!$E:$E,MATCH(B366,Pessoas!$A:$A,0)),0))</f>
        <v/>
      </c>
      <c r="G366" s="27" t="str">
        <f aca="false">IF(E366="","",E366/60*F366)</f>
        <v/>
      </c>
    </row>
    <row r="367" customFormat="false" ht="15" hidden="false" customHeight="false" outlineLevel="0" collapsed="false">
      <c r="A367" s="25"/>
      <c r="E367" s="26"/>
      <c r="F367" s="27" t="str">
        <f aca="false">IF(B367="","",IFERROR(INDEX(Pessoas!$E:$E,MATCH(B367,Pessoas!$A:$A,0)),0))</f>
        <v/>
      </c>
      <c r="G367" s="27" t="str">
        <f aca="false">IF(E367="","",E367/60*F367)</f>
        <v/>
      </c>
    </row>
    <row r="368" customFormat="false" ht="15" hidden="false" customHeight="false" outlineLevel="0" collapsed="false">
      <c r="A368" s="25"/>
      <c r="E368" s="26"/>
      <c r="F368" s="27" t="str">
        <f aca="false">IF(B368="","",IFERROR(INDEX(Pessoas!$E:$E,MATCH(B368,Pessoas!$A:$A,0)),0))</f>
        <v/>
      </c>
      <c r="G368" s="27" t="str">
        <f aca="false">IF(E368="","",E368/60*F368)</f>
        <v/>
      </c>
    </row>
    <row r="369" customFormat="false" ht="15" hidden="false" customHeight="false" outlineLevel="0" collapsed="false">
      <c r="A369" s="25"/>
      <c r="E369" s="26"/>
      <c r="F369" s="27" t="str">
        <f aca="false">IF(B369="","",IFERROR(INDEX(Pessoas!$E:$E,MATCH(B369,Pessoas!$A:$A,0)),0))</f>
        <v/>
      </c>
      <c r="G369" s="27" t="str">
        <f aca="false">IF(E369="","",E369/60*F369)</f>
        <v/>
      </c>
    </row>
    <row r="370" customFormat="false" ht="15" hidden="false" customHeight="false" outlineLevel="0" collapsed="false">
      <c r="A370" s="25"/>
      <c r="E370" s="26"/>
      <c r="F370" s="27" t="str">
        <f aca="false">IF(B370="","",IFERROR(INDEX(Pessoas!$E:$E,MATCH(B370,Pessoas!$A:$A,0)),0))</f>
        <v/>
      </c>
      <c r="G370" s="27" t="str">
        <f aca="false">IF(E370="","",E370/60*F370)</f>
        <v/>
      </c>
    </row>
    <row r="371" customFormat="false" ht="15" hidden="false" customHeight="false" outlineLevel="0" collapsed="false">
      <c r="A371" s="25"/>
      <c r="E371" s="26"/>
      <c r="F371" s="27" t="str">
        <f aca="false">IF(B371="","",IFERROR(INDEX(Pessoas!$E:$E,MATCH(B371,Pessoas!$A:$A,0)),0))</f>
        <v/>
      </c>
      <c r="G371" s="27" t="str">
        <f aca="false">IF(E371="","",E371/60*F371)</f>
        <v/>
      </c>
    </row>
    <row r="372" customFormat="false" ht="15" hidden="false" customHeight="false" outlineLevel="0" collapsed="false">
      <c r="A372" s="25"/>
      <c r="E372" s="26"/>
      <c r="F372" s="27" t="str">
        <f aca="false">IF(B372="","",IFERROR(INDEX(Pessoas!$E:$E,MATCH(B372,Pessoas!$A:$A,0)),0))</f>
        <v/>
      </c>
      <c r="G372" s="27" t="str">
        <f aca="false">IF(E372="","",E372/60*F372)</f>
        <v/>
      </c>
    </row>
    <row r="373" customFormat="false" ht="15" hidden="false" customHeight="false" outlineLevel="0" collapsed="false">
      <c r="A373" s="25"/>
      <c r="E373" s="26"/>
      <c r="F373" s="27" t="str">
        <f aca="false">IF(B373="","",IFERROR(INDEX(Pessoas!$E:$E,MATCH(B373,Pessoas!$A:$A,0)),0))</f>
        <v/>
      </c>
      <c r="G373" s="27" t="str">
        <f aca="false">IF(E373="","",E373/60*F373)</f>
        <v/>
      </c>
    </row>
    <row r="374" customFormat="false" ht="15" hidden="false" customHeight="false" outlineLevel="0" collapsed="false">
      <c r="A374" s="25"/>
      <c r="E374" s="26"/>
      <c r="F374" s="27" t="str">
        <f aca="false">IF(B374="","",IFERROR(INDEX(Pessoas!$E:$E,MATCH(B374,Pessoas!$A:$A,0)),0))</f>
        <v/>
      </c>
      <c r="G374" s="27" t="str">
        <f aca="false">IF(E374="","",E374/60*F374)</f>
        <v/>
      </c>
    </row>
    <row r="375" customFormat="false" ht="15" hidden="false" customHeight="false" outlineLevel="0" collapsed="false">
      <c r="A375" s="25"/>
      <c r="E375" s="26"/>
      <c r="F375" s="27" t="str">
        <f aca="false">IF(B375="","",IFERROR(INDEX(Pessoas!$E:$E,MATCH(B375,Pessoas!$A:$A,0)),0))</f>
        <v/>
      </c>
      <c r="G375" s="27" t="str">
        <f aca="false">IF(E375="","",E375/60*F375)</f>
        <v/>
      </c>
    </row>
    <row r="376" customFormat="false" ht="15" hidden="false" customHeight="false" outlineLevel="0" collapsed="false">
      <c r="A376" s="25"/>
      <c r="E376" s="26"/>
      <c r="F376" s="27" t="str">
        <f aca="false">IF(B376="","",IFERROR(INDEX(Pessoas!$E:$E,MATCH(B376,Pessoas!$A:$A,0)),0))</f>
        <v/>
      </c>
      <c r="G376" s="27" t="str">
        <f aca="false">IF(E376="","",E376/60*F376)</f>
        <v/>
      </c>
    </row>
    <row r="377" customFormat="false" ht="15" hidden="false" customHeight="false" outlineLevel="0" collapsed="false">
      <c r="A377" s="25"/>
      <c r="E377" s="26"/>
      <c r="F377" s="27" t="str">
        <f aca="false">IF(B377="","",IFERROR(INDEX(Pessoas!$E:$E,MATCH(B377,Pessoas!$A:$A,0)),0))</f>
        <v/>
      </c>
      <c r="G377" s="27" t="str">
        <f aca="false">IF(E377="","",E377/60*F377)</f>
        <v/>
      </c>
    </row>
    <row r="378" customFormat="false" ht="15" hidden="false" customHeight="false" outlineLevel="0" collapsed="false">
      <c r="A378" s="25"/>
      <c r="E378" s="26"/>
      <c r="F378" s="27" t="str">
        <f aca="false">IF(B378="","",IFERROR(INDEX(Pessoas!$E:$E,MATCH(B378,Pessoas!$A:$A,0)),0))</f>
        <v/>
      </c>
      <c r="G378" s="27" t="str">
        <f aca="false">IF(E378="","",E378/60*F378)</f>
        <v/>
      </c>
    </row>
    <row r="379" customFormat="false" ht="15" hidden="false" customHeight="false" outlineLevel="0" collapsed="false">
      <c r="A379" s="25"/>
      <c r="E379" s="26"/>
      <c r="F379" s="27" t="str">
        <f aca="false">IF(B379="","",IFERROR(INDEX(Pessoas!$E:$E,MATCH(B379,Pessoas!$A:$A,0)),0))</f>
        <v/>
      </c>
      <c r="G379" s="27" t="str">
        <f aca="false">IF(E379="","",E379/60*F379)</f>
        <v/>
      </c>
    </row>
    <row r="380" customFormat="false" ht="15" hidden="false" customHeight="false" outlineLevel="0" collapsed="false">
      <c r="A380" s="25"/>
      <c r="E380" s="26"/>
      <c r="F380" s="27" t="str">
        <f aca="false">IF(B380="","",IFERROR(INDEX(Pessoas!$E:$E,MATCH(B380,Pessoas!$A:$A,0)),0))</f>
        <v/>
      </c>
      <c r="G380" s="27" t="str">
        <f aca="false">IF(E380="","",E380/60*F380)</f>
        <v/>
      </c>
    </row>
    <row r="381" customFormat="false" ht="15" hidden="false" customHeight="false" outlineLevel="0" collapsed="false">
      <c r="A381" s="25"/>
      <c r="E381" s="26"/>
      <c r="F381" s="27" t="str">
        <f aca="false">IF(B381="","",IFERROR(INDEX(Pessoas!$E:$E,MATCH(B381,Pessoas!$A:$A,0)),0))</f>
        <v/>
      </c>
      <c r="G381" s="27" t="str">
        <f aca="false">IF(E381="","",E381/60*F381)</f>
        <v/>
      </c>
    </row>
    <row r="382" customFormat="false" ht="15" hidden="false" customHeight="false" outlineLevel="0" collapsed="false">
      <c r="A382" s="25"/>
      <c r="E382" s="26"/>
      <c r="F382" s="27" t="str">
        <f aca="false">IF(B382="","",IFERROR(INDEX(Pessoas!$E:$E,MATCH(B382,Pessoas!$A:$A,0)),0))</f>
        <v/>
      </c>
      <c r="G382" s="27" t="str">
        <f aca="false">IF(E382="","",E382/60*F382)</f>
        <v/>
      </c>
    </row>
    <row r="383" customFormat="false" ht="15" hidden="false" customHeight="false" outlineLevel="0" collapsed="false">
      <c r="A383" s="25"/>
      <c r="E383" s="26"/>
      <c r="F383" s="27" t="str">
        <f aca="false">IF(B383="","",IFERROR(INDEX(Pessoas!$E:$E,MATCH(B383,Pessoas!$A:$A,0)),0))</f>
        <v/>
      </c>
      <c r="G383" s="27" t="str">
        <f aca="false">IF(E383="","",E383/60*F383)</f>
        <v/>
      </c>
    </row>
    <row r="384" customFormat="false" ht="15" hidden="false" customHeight="false" outlineLevel="0" collapsed="false">
      <c r="A384" s="25"/>
      <c r="E384" s="26"/>
      <c r="F384" s="27" t="str">
        <f aca="false">IF(B384="","",IFERROR(INDEX(Pessoas!$E:$E,MATCH(B384,Pessoas!$A:$A,0)),0))</f>
        <v/>
      </c>
      <c r="G384" s="27" t="str">
        <f aca="false">IF(E384="","",E384/60*F384)</f>
        <v/>
      </c>
    </row>
    <row r="385" customFormat="false" ht="15" hidden="false" customHeight="false" outlineLevel="0" collapsed="false">
      <c r="A385" s="25"/>
      <c r="E385" s="26"/>
      <c r="F385" s="27" t="str">
        <f aca="false">IF(B385="","",IFERROR(INDEX(Pessoas!$E:$E,MATCH(B385,Pessoas!$A:$A,0)),0))</f>
        <v/>
      </c>
      <c r="G385" s="27" t="str">
        <f aca="false">IF(E385="","",E385/60*F385)</f>
        <v/>
      </c>
    </row>
    <row r="386" customFormat="false" ht="15" hidden="false" customHeight="false" outlineLevel="0" collapsed="false">
      <c r="A386" s="25"/>
      <c r="E386" s="26"/>
      <c r="F386" s="27" t="str">
        <f aca="false">IF(B386="","",IFERROR(INDEX(Pessoas!$E:$E,MATCH(B386,Pessoas!$A:$A,0)),0))</f>
        <v/>
      </c>
      <c r="G386" s="27" t="str">
        <f aca="false">IF(E386="","",E386/60*F386)</f>
        <v/>
      </c>
    </row>
    <row r="387" customFormat="false" ht="15" hidden="false" customHeight="false" outlineLevel="0" collapsed="false">
      <c r="A387" s="25"/>
      <c r="E387" s="26"/>
      <c r="F387" s="27" t="str">
        <f aca="false">IF(B387="","",IFERROR(INDEX(Pessoas!$E:$E,MATCH(B387,Pessoas!$A:$A,0)),0))</f>
        <v/>
      </c>
      <c r="G387" s="27" t="str">
        <f aca="false">IF(E387="","",E387/60*F387)</f>
        <v/>
      </c>
    </row>
    <row r="388" customFormat="false" ht="15" hidden="false" customHeight="false" outlineLevel="0" collapsed="false">
      <c r="A388" s="25"/>
      <c r="E388" s="26"/>
      <c r="F388" s="27" t="str">
        <f aca="false">IF(B388="","",IFERROR(INDEX(Pessoas!$E:$E,MATCH(B388,Pessoas!$A:$A,0)),0))</f>
        <v/>
      </c>
      <c r="G388" s="27" t="str">
        <f aca="false">IF(E388="","",E388/60*F388)</f>
        <v/>
      </c>
    </row>
    <row r="389" customFormat="false" ht="15" hidden="false" customHeight="false" outlineLevel="0" collapsed="false">
      <c r="A389" s="25"/>
      <c r="E389" s="26"/>
      <c r="F389" s="27" t="str">
        <f aca="false">IF(B389="","",IFERROR(INDEX(Pessoas!$E:$E,MATCH(B389,Pessoas!$A:$A,0)),0))</f>
        <v/>
      </c>
      <c r="G389" s="27" t="str">
        <f aca="false">IF(E389="","",E389/60*F389)</f>
        <v/>
      </c>
    </row>
    <row r="390" customFormat="false" ht="15" hidden="false" customHeight="false" outlineLevel="0" collapsed="false">
      <c r="A390" s="25"/>
      <c r="E390" s="26"/>
      <c r="F390" s="27" t="str">
        <f aca="false">IF(B390="","",IFERROR(INDEX(Pessoas!$E:$E,MATCH(B390,Pessoas!$A:$A,0)),0))</f>
        <v/>
      </c>
      <c r="G390" s="27" t="str">
        <f aca="false">IF(E390="","",E390/60*F390)</f>
        <v/>
      </c>
    </row>
    <row r="391" customFormat="false" ht="15" hidden="false" customHeight="false" outlineLevel="0" collapsed="false">
      <c r="A391" s="25"/>
      <c r="E391" s="26"/>
      <c r="F391" s="27" t="str">
        <f aca="false">IF(B391="","",IFERROR(INDEX(Pessoas!$E:$E,MATCH(B391,Pessoas!$A:$A,0)),0))</f>
        <v/>
      </c>
      <c r="G391" s="27" t="str">
        <f aca="false">IF(E391="","",E391/60*F391)</f>
        <v/>
      </c>
    </row>
    <row r="392" customFormat="false" ht="15" hidden="false" customHeight="false" outlineLevel="0" collapsed="false">
      <c r="A392" s="25"/>
      <c r="E392" s="26"/>
      <c r="F392" s="27" t="str">
        <f aca="false">IF(B392="","",IFERROR(INDEX(Pessoas!$E:$E,MATCH(B392,Pessoas!$A:$A,0)),0))</f>
        <v/>
      </c>
      <c r="G392" s="27" t="str">
        <f aca="false">IF(E392="","",E392/60*F392)</f>
        <v/>
      </c>
    </row>
    <row r="393" customFormat="false" ht="15" hidden="false" customHeight="false" outlineLevel="0" collapsed="false">
      <c r="A393" s="25"/>
      <c r="E393" s="26"/>
      <c r="F393" s="27" t="str">
        <f aca="false">IF(B393="","",IFERROR(INDEX(Pessoas!$E:$E,MATCH(B393,Pessoas!$A:$A,0)),0))</f>
        <v/>
      </c>
      <c r="G393" s="27" t="str">
        <f aca="false">IF(E393="","",E393/60*F393)</f>
        <v/>
      </c>
    </row>
    <row r="394" customFormat="false" ht="15" hidden="false" customHeight="false" outlineLevel="0" collapsed="false">
      <c r="A394" s="25"/>
      <c r="E394" s="26"/>
      <c r="F394" s="27" t="str">
        <f aca="false">IF(B394="","",IFERROR(INDEX(Pessoas!$E:$E,MATCH(B394,Pessoas!$A:$A,0)),0))</f>
        <v/>
      </c>
      <c r="G394" s="27" t="str">
        <f aca="false">IF(E394="","",E394/60*F394)</f>
        <v/>
      </c>
    </row>
    <row r="395" customFormat="false" ht="15" hidden="false" customHeight="false" outlineLevel="0" collapsed="false">
      <c r="A395" s="25"/>
      <c r="E395" s="26"/>
      <c r="F395" s="27" t="str">
        <f aca="false">IF(B395="","",IFERROR(INDEX(Pessoas!$E:$E,MATCH(B395,Pessoas!$A:$A,0)),0))</f>
        <v/>
      </c>
      <c r="G395" s="27" t="str">
        <f aca="false">IF(E395="","",E395/60*F395)</f>
        <v/>
      </c>
    </row>
    <row r="396" customFormat="false" ht="15" hidden="false" customHeight="false" outlineLevel="0" collapsed="false">
      <c r="A396" s="25"/>
      <c r="E396" s="26"/>
      <c r="F396" s="27" t="str">
        <f aca="false">IF(B396="","",IFERROR(INDEX(Pessoas!$E:$E,MATCH(B396,Pessoas!$A:$A,0)),0))</f>
        <v/>
      </c>
      <c r="G396" s="27" t="str">
        <f aca="false">IF(E396="","",E396/60*F396)</f>
        <v/>
      </c>
    </row>
    <row r="397" customFormat="false" ht="15" hidden="false" customHeight="false" outlineLevel="0" collapsed="false">
      <c r="A397" s="25"/>
      <c r="E397" s="26"/>
      <c r="F397" s="27" t="str">
        <f aca="false">IF(B397="","",IFERROR(INDEX(Pessoas!$E:$E,MATCH(B397,Pessoas!$A:$A,0)),0))</f>
        <v/>
      </c>
      <c r="G397" s="27" t="str">
        <f aca="false">IF(E397="","",E397/60*F397)</f>
        <v/>
      </c>
    </row>
    <row r="398" customFormat="false" ht="15" hidden="false" customHeight="false" outlineLevel="0" collapsed="false">
      <c r="A398" s="25"/>
      <c r="E398" s="26"/>
      <c r="F398" s="27" t="str">
        <f aca="false">IF(B398="","",IFERROR(INDEX(Pessoas!$E:$E,MATCH(B398,Pessoas!$A:$A,0)),0))</f>
        <v/>
      </c>
      <c r="G398" s="27" t="str">
        <f aca="false">IF(E398="","",E398/60*F398)</f>
        <v/>
      </c>
    </row>
    <row r="399" customFormat="false" ht="15" hidden="false" customHeight="false" outlineLevel="0" collapsed="false">
      <c r="A399" s="25"/>
      <c r="E399" s="26"/>
      <c r="F399" s="27" t="str">
        <f aca="false">IF(B399="","",IFERROR(INDEX(Pessoas!$E:$E,MATCH(B399,Pessoas!$A:$A,0)),0))</f>
        <v/>
      </c>
      <c r="G399" s="27" t="str">
        <f aca="false">IF(E399="","",E399/60*F399)</f>
        <v/>
      </c>
    </row>
    <row r="400" customFormat="false" ht="15" hidden="false" customHeight="false" outlineLevel="0" collapsed="false">
      <c r="A400" s="25"/>
      <c r="E400" s="26"/>
      <c r="F400" s="27" t="str">
        <f aca="false">IF(B400="","",IFERROR(INDEX(Pessoas!$E:$E,MATCH(B400,Pessoas!$A:$A,0)),0))</f>
        <v/>
      </c>
      <c r="G400" s="27" t="str">
        <f aca="false">IF(E400="","",E400/60*F400)</f>
        <v/>
      </c>
    </row>
    <row r="401" customFormat="false" ht="15" hidden="false" customHeight="false" outlineLevel="0" collapsed="false">
      <c r="A401" s="25"/>
      <c r="E401" s="26"/>
      <c r="F401" s="27" t="str">
        <f aca="false">IF(B401="","",IFERROR(INDEX(Pessoas!$E:$E,MATCH(B401,Pessoas!$A:$A,0)),0))</f>
        <v/>
      </c>
      <c r="G401" s="27" t="str">
        <f aca="false">IF(E401="","",E401/60*F401)</f>
        <v/>
      </c>
    </row>
    <row r="402" customFormat="false" ht="15" hidden="false" customHeight="false" outlineLevel="0" collapsed="false">
      <c r="A402" s="25"/>
      <c r="E402" s="26"/>
      <c r="F402" s="27" t="str">
        <f aca="false">IF(B402="","",IFERROR(INDEX(Pessoas!$E:$E,MATCH(B402,Pessoas!$A:$A,0)),0))</f>
        <v/>
      </c>
      <c r="G402" s="27" t="str">
        <f aca="false">IF(E402="","",E402/60*F402)</f>
        <v/>
      </c>
    </row>
    <row r="403" customFormat="false" ht="15" hidden="false" customHeight="false" outlineLevel="0" collapsed="false">
      <c r="A403" s="25"/>
      <c r="E403" s="26"/>
      <c r="F403" s="27" t="str">
        <f aca="false">IF(B403="","",IFERROR(INDEX(Pessoas!$E:$E,MATCH(B403,Pessoas!$A:$A,0)),0))</f>
        <v/>
      </c>
      <c r="G403" s="27" t="str">
        <f aca="false">IF(E403="","",E403/60*F403)</f>
        <v/>
      </c>
    </row>
    <row r="404" customFormat="false" ht="15" hidden="false" customHeight="false" outlineLevel="0" collapsed="false">
      <c r="A404" s="25"/>
      <c r="E404" s="26"/>
      <c r="F404" s="27" t="str">
        <f aca="false">IF(B404="","",IFERROR(INDEX(Pessoas!$E:$E,MATCH(B404,Pessoas!$A:$A,0)),0))</f>
        <v/>
      </c>
      <c r="G404" s="27" t="str">
        <f aca="false">IF(E404="","",E404/60*F404)</f>
        <v/>
      </c>
    </row>
    <row r="405" customFormat="false" ht="15" hidden="false" customHeight="false" outlineLevel="0" collapsed="false">
      <c r="A405" s="25"/>
      <c r="E405" s="26"/>
      <c r="F405" s="27" t="str">
        <f aca="false">IF(B405="","",IFERROR(INDEX(Pessoas!$E:$E,MATCH(B405,Pessoas!$A:$A,0)),0))</f>
        <v/>
      </c>
      <c r="G405" s="27" t="str">
        <f aca="false">IF(E405="","",E405/60*F405)</f>
        <v/>
      </c>
    </row>
    <row r="406" customFormat="false" ht="15" hidden="false" customHeight="false" outlineLevel="0" collapsed="false">
      <c r="A406" s="25"/>
      <c r="E406" s="26"/>
      <c r="F406" s="27" t="str">
        <f aca="false">IF(B406="","",IFERROR(INDEX(Pessoas!$E:$E,MATCH(B406,Pessoas!$A:$A,0)),0))</f>
        <v/>
      </c>
      <c r="G406" s="27" t="str">
        <f aca="false">IF(E406="","",E406/60*F406)</f>
        <v/>
      </c>
    </row>
    <row r="407" customFormat="false" ht="15" hidden="false" customHeight="false" outlineLevel="0" collapsed="false">
      <c r="A407" s="25"/>
      <c r="E407" s="26"/>
      <c r="F407" s="27" t="str">
        <f aca="false">IF(B407="","",IFERROR(INDEX(Pessoas!$E:$E,MATCH(B407,Pessoas!$A:$A,0)),0))</f>
        <v/>
      </c>
      <c r="G407" s="27" t="str">
        <f aca="false">IF(E407="","",E407/60*F407)</f>
        <v/>
      </c>
    </row>
    <row r="408" customFormat="false" ht="15" hidden="false" customHeight="false" outlineLevel="0" collapsed="false">
      <c r="A408" s="25"/>
      <c r="E408" s="26"/>
      <c r="F408" s="27" t="str">
        <f aca="false">IF(B408="","",IFERROR(INDEX(Pessoas!$E:$E,MATCH(B408,Pessoas!$A:$A,0)),0))</f>
        <v/>
      </c>
      <c r="G408" s="27" t="str">
        <f aca="false">IF(E408="","",E408/60*F408)</f>
        <v/>
      </c>
    </row>
    <row r="409" customFormat="false" ht="15" hidden="false" customHeight="false" outlineLevel="0" collapsed="false">
      <c r="A409" s="25"/>
      <c r="E409" s="26"/>
      <c r="F409" s="27" t="str">
        <f aca="false">IF(B409="","",IFERROR(INDEX(Pessoas!$E:$E,MATCH(B409,Pessoas!$A:$A,0)),0))</f>
        <v/>
      </c>
      <c r="G409" s="27" t="str">
        <f aca="false">IF(E409="","",E409/60*F409)</f>
        <v/>
      </c>
    </row>
    <row r="410" customFormat="false" ht="15" hidden="false" customHeight="false" outlineLevel="0" collapsed="false">
      <c r="A410" s="25"/>
      <c r="E410" s="26"/>
      <c r="F410" s="27" t="str">
        <f aca="false">IF(B410="","",IFERROR(INDEX(Pessoas!$E:$E,MATCH(B410,Pessoas!$A:$A,0)),0))</f>
        <v/>
      </c>
      <c r="G410" s="27" t="str">
        <f aca="false">IF(E410="","",E410/60*F410)</f>
        <v/>
      </c>
    </row>
    <row r="411" customFormat="false" ht="15" hidden="false" customHeight="false" outlineLevel="0" collapsed="false">
      <c r="A411" s="25"/>
      <c r="E411" s="26"/>
      <c r="F411" s="27" t="str">
        <f aca="false">IF(B411="","",IFERROR(INDEX(Pessoas!$E:$E,MATCH(B411,Pessoas!$A:$A,0)),0))</f>
        <v/>
      </c>
      <c r="G411" s="27" t="str">
        <f aca="false">IF(E411="","",E411/60*F411)</f>
        <v/>
      </c>
    </row>
    <row r="412" customFormat="false" ht="15" hidden="false" customHeight="false" outlineLevel="0" collapsed="false">
      <c r="A412" s="25"/>
      <c r="E412" s="26"/>
      <c r="F412" s="27" t="str">
        <f aca="false">IF(B412="","",IFERROR(INDEX(Pessoas!$E:$E,MATCH(B412,Pessoas!$A:$A,0)),0))</f>
        <v/>
      </c>
      <c r="G412" s="27" t="str">
        <f aca="false">IF(E412="","",E412/60*F412)</f>
        <v/>
      </c>
    </row>
    <row r="413" customFormat="false" ht="15" hidden="false" customHeight="false" outlineLevel="0" collapsed="false">
      <c r="A413" s="25"/>
      <c r="E413" s="26"/>
      <c r="F413" s="27" t="str">
        <f aca="false">IF(B413="","",IFERROR(INDEX(Pessoas!$E:$E,MATCH(B413,Pessoas!$A:$A,0)),0))</f>
        <v/>
      </c>
      <c r="G413" s="27" t="str">
        <f aca="false">IF(E413="","",E413/60*F413)</f>
        <v/>
      </c>
    </row>
    <row r="414" customFormat="false" ht="15" hidden="false" customHeight="false" outlineLevel="0" collapsed="false">
      <c r="A414" s="25"/>
      <c r="E414" s="26"/>
      <c r="F414" s="27" t="str">
        <f aca="false">IF(B414="","",IFERROR(INDEX(Pessoas!$E:$E,MATCH(B414,Pessoas!$A:$A,0)),0))</f>
        <v/>
      </c>
      <c r="G414" s="27" t="str">
        <f aca="false">IF(E414="","",E414/60*F414)</f>
        <v/>
      </c>
    </row>
    <row r="415" customFormat="false" ht="15" hidden="false" customHeight="false" outlineLevel="0" collapsed="false">
      <c r="A415" s="25"/>
      <c r="E415" s="26"/>
      <c r="F415" s="27" t="str">
        <f aca="false">IF(B415="","",IFERROR(INDEX(Pessoas!$E:$E,MATCH(B415,Pessoas!$A:$A,0)),0))</f>
        <v/>
      </c>
      <c r="G415" s="27" t="str">
        <f aca="false">IF(E415="","",E415/60*F415)</f>
        <v/>
      </c>
    </row>
    <row r="416" customFormat="false" ht="15" hidden="false" customHeight="false" outlineLevel="0" collapsed="false">
      <c r="A416" s="25"/>
      <c r="E416" s="26"/>
      <c r="F416" s="27" t="str">
        <f aca="false">IF(B416="","",IFERROR(INDEX(Pessoas!$E:$E,MATCH(B416,Pessoas!$A:$A,0)),0))</f>
        <v/>
      </c>
      <c r="G416" s="27" t="str">
        <f aca="false">IF(E416="","",E416/60*F416)</f>
        <v/>
      </c>
    </row>
    <row r="417" customFormat="false" ht="15" hidden="false" customHeight="false" outlineLevel="0" collapsed="false">
      <c r="A417" s="25"/>
      <c r="E417" s="26"/>
      <c r="F417" s="27" t="str">
        <f aca="false">IF(B417="","",IFERROR(INDEX(Pessoas!$E:$E,MATCH(B417,Pessoas!$A:$A,0)),0))</f>
        <v/>
      </c>
      <c r="G417" s="27" t="str">
        <f aca="false">IF(E417="","",E417/60*F417)</f>
        <v/>
      </c>
    </row>
    <row r="418" customFormat="false" ht="15" hidden="false" customHeight="false" outlineLevel="0" collapsed="false">
      <c r="A418" s="25"/>
      <c r="E418" s="26"/>
      <c r="F418" s="27" t="str">
        <f aca="false">IF(B418="","",IFERROR(INDEX(Pessoas!$E:$E,MATCH(B418,Pessoas!$A:$A,0)),0))</f>
        <v/>
      </c>
      <c r="G418" s="27" t="str">
        <f aca="false">IF(E418="","",E418/60*F418)</f>
        <v/>
      </c>
    </row>
    <row r="419" customFormat="false" ht="15" hidden="false" customHeight="false" outlineLevel="0" collapsed="false">
      <c r="A419" s="25"/>
      <c r="E419" s="26"/>
      <c r="F419" s="27" t="str">
        <f aca="false">IF(B419="","",IFERROR(INDEX(Pessoas!$E:$E,MATCH(B419,Pessoas!$A:$A,0)),0))</f>
        <v/>
      </c>
      <c r="G419" s="27" t="str">
        <f aca="false">IF(E419="","",E419/60*F419)</f>
        <v/>
      </c>
    </row>
    <row r="420" customFormat="false" ht="15" hidden="false" customHeight="false" outlineLevel="0" collapsed="false">
      <c r="A420" s="25"/>
      <c r="E420" s="26"/>
      <c r="F420" s="27" t="str">
        <f aca="false">IF(B420="","",IFERROR(INDEX(Pessoas!$E:$E,MATCH(B420,Pessoas!$A:$A,0)),0))</f>
        <v/>
      </c>
      <c r="G420" s="27" t="str">
        <f aca="false">IF(E420="","",E420/60*F420)</f>
        <v/>
      </c>
    </row>
    <row r="421" customFormat="false" ht="15" hidden="false" customHeight="false" outlineLevel="0" collapsed="false">
      <c r="A421" s="25"/>
      <c r="E421" s="26"/>
      <c r="F421" s="27" t="str">
        <f aca="false">IF(B421="","",IFERROR(INDEX(Pessoas!$E:$E,MATCH(B421,Pessoas!$A:$A,0)),0))</f>
        <v/>
      </c>
      <c r="G421" s="27" t="str">
        <f aca="false">IF(E421="","",E421/60*F421)</f>
        <v/>
      </c>
    </row>
    <row r="422" customFormat="false" ht="15" hidden="false" customHeight="false" outlineLevel="0" collapsed="false">
      <c r="A422" s="25"/>
      <c r="E422" s="26"/>
      <c r="F422" s="27" t="str">
        <f aca="false">IF(B422="","",IFERROR(INDEX(Pessoas!$E:$E,MATCH(B422,Pessoas!$A:$A,0)),0))</f>
        <v/>
      </c>
      <c r="G422" s="27" t="str">
        <f aca="false">IF(E422="","",E422/60*F422)</f>
        <v/>
      </c>
    </row>
    <row r="423" customFormat="false" ht="15" hidden="false" customHeight="false" outlineLevel="0" collapsed="false">
      <c r="A423" s="25"/>
      <c r="E423" s="26"/>
      <c r="F423" s="27" t="str">
        <f aca="false">IF(B423="","",IFERROR(INDEX(Pessoas!$E:$E,MATCH(B423,Pessoas!$A:$A,0)),0))</f>
        <v/>
      </c>
      <c r="G423" s="27" t="str">
        <f aca="false">IF(E423="","",E423/60*F423)</f>
        <v/>
      </c>
    </row>
    <row r="424" customFormat="false" ht="15" hidden="false" customHeight="false" outlineLevel="0" collapsed="false">
      <c r="A424" s="25"/>
      <c r="E424" s="26"/>
      <c r="F424" s="27" t="str">
        <f aca="false">IF(B424="","",IFERROR(INDEX(Pessoas!$E:$E,MATCH(B424,Pessoas!$A:$A,0)),0))</f>
        <v/>
      </c>
      <c r="G424" s="27" t="str">
        <f aca="false">IF(E424="","",E424/60*F424)</f>
        <v/>
      </c>
    </row>
    <row r="425" customFormat="false" ht="15" hidden="false" customHeight="false" outlineLevel="0" collapsed="false">
      <c r="A425" s="25"/>
      <c r="E425" s="26"/>
      <c r="F425" s="27" t="str">
        <f aca="false">IF(B425="","",IFERROR(INDEX(Pessoas!$E:$E,MATCH(B425,Pessoas!$A:$A,0)),0))</f>
        <v/>
      </c>
      <c r="G425" s="27" t="str">
        <f aca="false">IF(E425="","",E425/60*F425)</f>
        <v/>
      </c>
    </row>
    <row r="426" customFormat="false" ht="15" hidden="false" customHeight="false" outlineLevel="0" collapsed="false">
      <c r="A426" s="25"/>
      <c r="E426" s="26"/>
      <c r="F426" s="27" t="str">
        <f aca="false">IF(B426="","",IFERROR(INDEX(Pessoas!$E:$E,MATCH(B426,Pessoas!$A:$A,0)),0))</f>
        <v/>
      </c>
      <c r="G426" s="27" t="str">
        <f aca="false">IF(E426="","",E426/60*F426)</f>
        <v/>
      </c>
    </row>
    <row r="427" customFormat="false" ht="15" hidden="false" customHeight="false" outlineLevel="0" collapsed="false">
      <c r="A427" s="25"/>
      <c r="E427" s="26"/>
      <c r="F427" s="27" t="str">
        <f aca="false">IF(B427="","",IFERROR(INDEX(Pessoas!$E:$E,MATCH(B427,Pessoas!$A:$A,0)),0))</f>
        <v/>
      </c>
      <c r="G427" s="27" t="str">
        <f aca="false">IF(E427="","",E427/60*F427)</f>
        <v/>
      </c>
    </row>
    <row r="428" customFormat="false" ht="15" hidden="false" customHeight="false" outlineLevel="0" collapsed="false">
      <c r="A428" s="25"/>
      <c r="E428" s="26"/>
      <c r="F428" s="27" t="str">
        <f aca="false">IF(B428="","",IFERROR(INDEX(Pessoas!$E:$E,MATCH(B428,Pessoas!$A:$A,0)),0))</f>
        <v/>
      </c>
      <c r="G428" s="27" t="str">
        <f aca="false">IF(E428="","",E428/60*F428)</f>
        <v/>
      </c>
    </row>
    <row r="429" customFormat="false" ht="15" hidden="false" customHeight="false" outlineLevel="0" collapsed="false">
      <c r="A429" s="25"/>
      <c r="E429" s="26"/>
      <c r="F429" s="27" t="str">
        <f aca="false">IF(B429="","",IFERROR(INDEX(Pessoas!$E:$E,MATCH(B429,Pessoas!$A:$A,0)),0))</f>
        <v/>
      </c>
      <c r="G429" s="27" t="str">
        <f aca="false">IF(E429="","",E429/60*F429)</f>
        <v/>
      </c>
    </row>
    <row r="430" customFormat="false" ht="15" hidden="false" customHeight="false" outlineLevel="0" collapsed="false">
      <c r="A430" s="25"/>
      <c r="E430" s="26"/>
      <c r="F430" s="27" t="str">
        <f aca="false">IF(B430="","",IFERROR(INDEX(Pessoas!$E:$E,MATCH(B430,Pessoas!$A:$A,0)),0))</f>
        <v/>
      </c>
      <c r="G430" s="27" t="str">
        <f aca="false">IF(E430="","",E430/60*F430)</f>
        <v/>
      </c>
    </row>
    <row r="431" customFormat="false" ht="15" hidden="false" customHeight="false" outlineLevel="0" collapsed="false">
      <c r="A431" s="25"/>
      <c r="E431" s="26"/>
      <c r="F431" s="27" t="str">
        <f aca="false">IF(B431="","",IFERROR(INDEX(Pessoas!$E:$E,MATCH(B431,Pessoas!$A:$A,0)),0))</f>
        <v/>
      </c>
      <c r="G431" s="27" t="str">
        <f aca="false">IF(E431="","",E431/60*F431)</f>
        <v/>
      </c>
    </row>
    <row r="432" customFormat="false" ht="15" hidden="false" customHeight="false" outlineLevel="0" collapsed="false">
      <c r="A432" s="25"/>
      <c r="E432" s="26"/>
      <c r="F432" s="27" t="str">
        <f aca="false">IF(B432="","",IFERROR(INDEX(Pessoas!$E:$E,MATCH(B432,Pessoas!$A:$A,0)),0))</f>
        <v/>
      </c>
      <c r="G432" s="27" t="str">
        <f aca="false">IF(E432="","",E432/60*F432)</f>
        <v/>
      </c>
    </row>
    <row r="433" customFormat="false" ht="15" hidden="false" customHeight="false" outlineLevel="0" collapsed="false">
      <c r="A433" s="25"/>
      <c r="E433" s="26"/>
      <c r="F433" s="27" t="str">
        <f aca="false">IF(B433="","",IFERROR(INDEX(Pessoas!$E:$E,MATCH(B433,Pessoas!$A:$A,0)),0))</f>
        <v/>
      </c>
      <c r="G433" s="27" t="str">
        <f aca="false">IF(E433="","",E433/60*F433)</f>
        <v/>
      </c>
    </row>
    <row r="434" customFormat="false" ht="15" hidden="false" customHeight="false" outlineLevel="0" collapsed="false">
      <c r="A434" s="25"/>
      <c r="E434" s="26"/>
      <c r="F434" s="27" t="str">
        <f aca="false">IF(B434="","",IFERROR(INDEX(Pessoas!$E:$E,MATCH(B434,Pessoas!$A:$A,0)),0))</f>
        <v/>
      </c>
      <c r="G434" s="27" t="str">
        <f aca="false">IF(E434="","",E434/60*F434)</f>
        <v/>
      </c>
    </row>
    <row r="435" customFormat="false" ht="15" hidden="false" customHeight="false" outlineLevel="0" collapsed="false">
      <c r="A435" s="25"/>
      <c r="E435" s="26"/>
      <c r="F435" s="27" t="str">
        <f aca="false">IF(B435="","",IFERROR(INDEX(Pessoas!$E:$E,MATCH(B435,Pessoas!$A:$A,0)),0))</f>
        <v/>
      </c>
      <c r="G435" s="27" t="str">
        <f aca="false">IF(E435="","",E435/60*F435)</f>
        <v/>
      </c>
    </row>
    <row r="436" customFormat="false" ht="15" hidden="false" customHeight="false" outlineLevel="0" collapsed="false">
      <c r="A436" s="25"/>
      <c r="E436" s="26"/>
      <c r="F436" s="27" t="str">
        <f aca="false">IF(B436="","",IFERROR(INDEX(Pessoas!$E:$E,MATCH(B436,Pessoas!$A:$A,0)),0))</f>
        <v/>
      </c>
      <c r="G436" s="27" t="str">
        <f aca="false">IF(E436="","",E436/60*F436)</f>
        <v/>
      </c>
    </row>
    <row r="437" customFormat="false" ht="15" hidden="false" customHeight="false" outlineLevel="0" collapsed="false">
      <c r="A437" s="25"/>
      <c r="E437" s="26"/>
      <c r="F437" s="27" t="str">
        <f aca="false">IF(B437="","",IFERROR(INDEX(Pessoas!$E:$E,MATCH(B437,Pessoas!$A:$A,0)),0))</f>
        <v/>
      </c>
      <c r="G437" s="27" t="str">
        <f aca="false">IF(E437="","",E437/60*F437)</f>
        <v/>
      </c>
    </row>
    <row r="438" customFormat="false" ht="15" hidden="false" customHeight="false" outlineLevel="0" collapsed="false">
      <c r="A438" s="25"/>
      <c r="E438" s="26"/>
      <c r="F438" s="27" t="str">
        <f aca="false">IF(B438="","",IFERROR(INDEX(Pessoas!$E:$E,MATCH(B438,Pessoas!$A:$A,0)),0))</f>
        <v/>
      </c>
      <c r="G438" s="27" t="str">
        <f aca="false">IF(E438="","",E438/60*F438)</f>
        <v/>
      </c>
    </row>
    <row r="439" customFormat="false" ht="15" hidden="false" customHeight="false" outlineLevel="0" collapsed="false">
      <c r="A439" s="25"/>
      <c r="E439" s="26"/>
      <c r="F439" s="27" t="str">
        <f aca="false">IF(B439="","",IFERROR(INDEX(Pessoas!$E:$E,MATCH(B439,Pessoas!$A:$A,0)),0))</f>
        <v/>
      </c>
      <c r="G439" s="27" t="str">
        <f aca="false">IF(E439="","",E439/60*F439)</f>
        <v/>
      </c>
    </row>
    <row r="440" customFormat="false" ht="15" hidden="false" customHeight="false" outlineLevel="0" collapsed="false">
      <c r="A440" s="25"/>
      <c r="E440" s="26"/>
      <c r="F440" s="27" t="str">
        <f aca="false">IF(B440="","",IFERROR(INDEX(Pessoas!$E:$E,MATCH(B440,Pessoas!$A:$A,0)),0))</f>
        <v/>
      </c>
      <c r="G440" s="27" t="str">
        <f aca="false">IF(E440="","",E440/60*F440)</f>
        <v/>
      </c>
    </row>
    <row r="441" customFormat="false" ht="15" hidden="false" customHeight="false" outlineLevel="0" collapsed="false">
      <c r="A441" s="25"/>
      <c r="E441" s="26"/>
      <c r="F441" s="27" t="str">
        <f aca="false">IF(B441="","",IFERROR(INDEX(Pessoas!$E:$E,MATCH(B441,Pessoas!$A:$A,0)),0))</f>
        <v/>
      </c>
      <c r="G441" s="27" t="str">
        <f aca="false">IF(E441="","",E441/60*F441)</f>
        <v/>
      </c>
    </row>
    <row r="442" customFormat="false" ht="15" hidden="false" customHeight="false" outlineLevel="0" collapsed="false">
      <c r="A442" s="25"/>
      <c r="E442" s="26"/>
      <c r="F442" s="27" t="str">
        <f aca="false">IF(B442="","",IFERROR(INDEX(Pessoas!$E:$E,MATCH(B442,Pessoas!$A:$A,0)),0))</f>
        <v/>
      </c>
      <c r="G442" s="27" t="str">
        <f aca="false">IF(E442="","",E442/60*F442)</f>
        <v/>
      </c>
    </row>
    <row r="443" customFormat="false" ht="15" hidden="false" customHeight="false" outlineLevel="0" collapsed="false">
      <c r="A443" s="25"/>
      <c r="E443" s="26"/>
      <c r="F443" s="27" t="str">
        <f aca="false">IF(B443="","",IFERROR(INDEX(Pessoas!$E:$E,MATCH(B443,Pessoas!$A:$A,0)),0))</f>
        <v/>
      </c>
      <c r="G443" s="27" t="str">
        <f aca="false">IF(E443="","",E443/60*F443)</f>
        <v/>
      </c>
    </row>
    <row r="444" customFormat="false" ht="15" hidden="false" customHeight="false" outlineLevel="0" collapsed="false">
      <c r="A444" s="25"/>
      <c r="E444" s="26"/>
      <c r="F444" s="27" t="str">
        <f aca="false">IF(B444="","",IFERROR(INDEX(Pessoas!$E:$E,MATCH(B444,Pessoas!$A:$A,0)),0))</f>
        <v/>
      </c>
      <c r="G444" s="27" t="str">
        <f aca="false">IF(E444="","",E444/60*F444)</f>
        <v/>
      </c>
    </row>
    <row r="445" customFormat="false" ht="15" hidden="false" customHeight="false" outlineLevel="0" collapsed="false">
      <c r="A445" s="25"/>
      <c r="E445" s="26"/>
      <c r="F445" s="27" t="str">
        <f aca="false">IF(B445="","",IFERROR(INDEX(Pessoas!$E:$E,MATCH(B445,Pessoas!$A:$A,0)),0))</f>
        <v/>
      </c>
      <c r="G445" s="27" t="str">
        <f aca="false">IF(E445="","",E445/60*F445)</f>
        <v/>
      </c>
    </row>
    <row r="446" customFormat="false" ht="15" hidden="false" customHeight="false" outlineLevel="0" collapsed="false">
      <c r="A446" s="25"/>
      <c r="E446" s="26"/>
      <c r="F446" s="27" t="str">
        <f aca="false">IF(B446="","",IFERROR(INDEX(Pessoas!$E:$E,MATCH(B446,Pessoas!$A:$A,0)),0))</f>
        <v/>
      </c>
      <c r="G446" s="27" t="str">
        <f aca="false">IF(E446="","",E446/60*F446)</f>
        <v/>
      </c>
    </row>
    <row r="447" customFormat="false" ht="15" hidden="false" customHeight="false" outlineLevel="0" collapsed="false">
      <c r="A447" s="25"/>
      <c r="E447" s="26"/>
      <c r="F447" s="27" t="str">
        <f aca="false">IF(B447="","",IFERROR(INDEX(Pessoas!$E:$E,MATCH(B447,Pessoas!$A:$A,0)),0))</f>
        <v/>
      </c>
      <c r="G447" s="27" t="str">
        <f aca="false">IF(E447="","",E447/60*F447)</f>
        <v/>
      </c>
    </row>
    <row r="448" customFormat="false" ht="15" hidden="false" customHeight="false" outlineLevel="0" collapsed="false">
      <c r="A448" s="25"/>
      <c r="E448" s="26"/>
      <c r="F448" s="27" t="str">
        <f aca="false">IF(B448="","",IFERROR(INDEX(Pessoas!$E:$E,MATCH(B448,Pessoas!$A:$A,0)),0))</f>
        <v/>
      </c>
      <c r="G448" s="27" t="str">
        <f aca="false">IF(E448="","",E448/60*F448)</f>
        <v/>
      </c>
    </row>
    <row r="449" customFormat="false" ht="15" hidden="false" customHeight="false" outlineLevel="0" collapsed="false">
      <c r="A449" s="25"/>
      <c r="E449" s="26"/>
      <c r="F449" s="27" t="str">
        <f aca="false">IF(B449="","",IFERROR(INDEX(Pessoas!$E:$E,MATCH(B449,Pessoas!$A:$A,0)),0))</f>
        <v/>
      </c>
      <c r="G449" s="27" t="str">
        <f aca="false">IF(E449="","",E449/60*F449)</f>
        <v/>
      </c>
    </row>
    <row r="450" customFormat="false" ht="15" hidden="false" customHeight="false" outlineLevel="0" collapsed="false">
      <c r="A450" s="25"/>
      <c r="E450" s="26"/>
      <c r="F450" s="27" t="str">
        <f aca="false">IF(B450="","",IFERROR(INDEX(Pessoas!$E:$E,MATCH(B450,Pessoas!$A:$A,0)),0))</f>
        <v/>
      </c>
      <c r="G450" s="27" t="str">
        <f aca="false">IF(E450="","",E450/60*F450)</f>
        <v/>
      </c>
    </row>
    <row r="451" customFormat="false" ht="15" hidden="false" customHeight="false" outlineLevel="0" collapsed="false">
      <c r="A451" s="25"/>
      <c r="E451" s="26"/>
      <c r="F451" s="27" t="str">
        <f aca="false">IF(B451="","",IFERROR(INDEX(Pessoas!$E:$E,MATCH(B451,Pessoas!$A:$A,0)),0))</f>
        <v/>
      </c>
      <c r="G451" s="27" t="str">
        <f aca="false">IF(E451="","",E451/60*F451)</f>
        <v/>
      </c>
    </row>
    <row r="452" customFormat="false" ht="15" hidden="false" customHeight="false" outlineLevel="0" collapsed="false">
      <c r="A452" s="25"/>
      <c r="E452" s="26"/>
      <c r="F452" s="27" t="str">
        <f aca="false">IF(B452="","",IFERROR(INDEX(Pessoas!$E:$E,MATCH(B452,Pessoas!$A:$A,0)),0))</f>
        <v/>
      </c>
      <c r="G452" s="27" t="str">
        <f aca="false">IF(E452="","",E452/60*F452)</f>
        <v/>
      </c>
    </row>
    <row r="453" customFormat="false" ht="15" hidden="false" customHeight="false" outlineLevel="0" collapsed="false">
      <c r="A453" s="25"/>
      <c r="E453" s="26"/>
      <c r="F453" s="27" t="str">
        <f aca="false">IF(B453="","",IFERROR(INDEX(Pessoas!$E:$E,MATCH(B453,Pessoas!$A:$A,0)),0))</f>
        <v/>
      </c>
      <c r="G453" s="27" t="str">
        <f aca="false">IF(E453="","",E453/60*F453)</f>
        <v/>
      </c>
    </row>
    <row r="454" customFormat="false" ht="15" hidden="false" customHeight="false" outlineLevel="0" collapsed="false">
      <c r="A454" s="25"/>
      <c r="E454" s="26"/>
      <c r="F454" s="27" t="str">
        <f aca="false">IF(B454="","",IFERROR(INDEX(Pessoas!$E:$E,MATCH(B454,Pessoas!$A:$A,0)),0))</f>
        <v/>
      </c>
      <c r="G454" s="27" t="str">
        <f aca="false">IF(E454="","",E454/60*F454)</f>
        <v/>
      </c>
    </row>
    <row r="455" customFormat="false" ht="15" hidden="false" customHeight="false" outlineLevel="0" collapsed="false">
      <c r="A455" s="25"/>
      <c r="E455" s="26"/>
      <c r="F455" s="27" t="str">
        <f aca="false">IF(B455="","",IFERROR(INDEX(Pessoas!$E:$E,MATCH(B455,Pessoas!$A:$A,0)),0))</f>
        <v/>
      </c>
      <c r="G455" s="27" t="str">
        <f aca="false">IF(E455="","",E455/60*F455)</f>
        <v/>
      </c>
    </row>
    <row r="456" customFormat="false" ht="15" hidden="false" customHeight="false" outlineLevel="0" collapsed="false">
      <c r="A456" s="25"/>
      <c r="E456" s="26"/>
      <c r="F456" s="27" t="str">
        <f aca="false">IF(B456="","",IFERROR(INDEX(Pessoas!$E:$E,MATCH(B456,Pessoas!$A:$A,0)),0))</f>
        <v/>
      </c>
      <c r="G456" s="27" t="str">
        <f aca="false">IF(E456="","",E456/60*F456)</f>
        <v/>
      </c>
    </row>
    <row r="457" customFormat="false" ht="15" hidden="false" customHeight="false" outlineLevel="0" collapsed="false">
      <c r="A457" s="25"/>
      <c r="E457" s="26"/>
      <c r="F457" s="27" t="str">
        <f aca="false">IF(B457="","",IFERROR(INDEX(Pessoas!$E:$E,MATCH(B457,Pessoas!$A:$A,0)),0))</f>
        <v/>
      </c>
      <c r="G457" s="27" t="str">
        <f aca="false">IF(E457="","",E457/60*F457)</f>
        <v/>
      </c>
    </row>
    <row r="458" customFormat="false" ht="15" hidden="false" customHeight="false" outlineLevel="0" collapsed="false">
      <c r="A458" s="25"/>
      <c r="E458" s="26"/>
      <c r="F458" s="27" t="str">
        <f aca="false">IF(B458="","",IFERROR(INDEX(Pessoas!$E:$E,MATCH(B458,Pessoas!$A:$A,0)),0))</f>
        <v/>
      </c>
      <c r="G458" s="27" t="str">
        <f aca="false">IF(E458="","",E458/60*F458)</f>
        <v/>
      </c>
    </row>
    <row r="459" customFormat="false" ht="15" hidden="false" customHeight="false" outlineLevel="0" collapsed="false">
      <c r="A459" s="25"/>
      <c r="E459" s="26"/>
      <c r="F459" s="27" t="str">
        <f aca="false">IF(B459="","",IFERROR(INDEX(Pessoas!$E:$E,MATCH(B459,Pessoas!$A:$A,0)),0))</f>
        <v/>
      </c>
      <c r="G459" s="27" t="str">
        <f aca="false">IF(E459="","",E459/60*F459)</f>
        <v/>
      </c>
    </row>
    <row r="460" customFormat="false" ht="15" hidden="false" customHeight="false" outlineLevel="0" collapsed="false">
      <c r="A460" s="25"/>
      <c r="E460" s="26"/>
      <c r="F460" s="27" t="str">
        <f aca="false">IF(B460="","",IFERROR(INDEX(Pessoas!$E:$E,MATCH(B460,Pessoas!$A:$A,0)),0))</f>
        <v/>
      </c>
      <c r="G460" s="27" t="str">
        <f aca="false">IF(E460="","",E460/60*F460)</f>
        <v/>
      </c>
    </row>
    <row r="461" customFormat="false" ht="15" hidden="false" customHeight="false" outlineLevel="0" collapsed="false">
      <c r="A461" s="25"/>
      <c r="E461" s="26"/>
      <c r="F461" s="27" t="str">
        <f aca="false">IF(B461="","",IFERROR(INDEX(Pessoas!$E:$E,MATCH(B461,Pessoas!$A:$A,0)),0))</f>
        <v/>
      </c>
      <c r="G461" s="27" t="str">
        <f aca="false">IF(E461="","",E461/60*F461)</f>
        <v/>
      </c>
    </row>
    <row r="462" customFormat="false" ht="15" hidden="false" customHeight="false" outlineLevel="0" collapsed="false">
      <c r="A462" s="25"/>
      <c r="E462" s="26"/>
      <c r="F462" s="27" t="str">
        <f aca="false">IF(B462="","",IFERROR(INDEX(Pessoas!$E:$E,MATCH(B462,Pessoas!$A:$A,0)),0))</f>
        <v/>
      </c>
      <c r="G462" s="27" t="str">
        <f aca="false">IF(E462="","",E462/60*F462)</f>
        <v/>
      </c>
    </row>
    <row r="463" customFormat="false" ht="15" hidden="false" customHeight="false" outlineLevel="0" collapsed="false">
      <c r="A463" s="25"/>
      <c r="E463" s="26"/>
      <c r="F463" s="27" t="str">
        <f aca="false">IF(B463="","",IFERROR(INDEX(Pessoas!$E:$E,MATCH(B463,Pessoas!$A:$A,0)),0))</f>
        <v/>
      </c>
      <c r="G463" s="27" t="str">
        <f aca="false">IF(E463="","",E463/60*F463)</f>
        <v/>
      </c>
    </row>
    <row r="464" customFormat="false" ht="15" hidden="false" customHeight="false" outlineLevel="0" collapsed="false">
      <c r="A464" s="25"/>
      <c r="E464" s="26"/>
      <c r="F464" s="27" t="str">
        <f aca="false">IF(B464="","",IFERROR(INDEX(Pessoas!$E:$E,MATCH(B464,Pessoas!$A:$A,0)),0))</f>
        <v/>
      </c>
      <c r="G464" s="27" t="str">
        <f aca="false">IF(E464="","",E464/60*F464)</f>
        <v/>
      </c>
    </row>
    <row r="465" customFormat="false" ht="15" hidden="false" customHeight="false" outlineLevel="0" collapsed="false">
      <c r="A465" s="25"/>
      <c r="E465" s="26"/>
      <c r="F465" s="27" t="str">
        <f aca="false">IF(B465="","",IFERROR(INDEX(Pessoas!$E:$E,MATCH(B465,Pessoas!$A:$A,0)),0))</f>
        <v/>
      </c>
      <c r="G465" s="27" t="str">
        <f aca="false">IF(E465="","",E465/60*F465)</f>
        <v/>
      </c>
    </row>
    <row r="466" customFormat="false" ht="15" hidden="false" customHeight="false" outlineLevel="0" collapsed="false">
      <c r="A466" s="25"/>
      <c r="E466" s="26"/>
      <c r="F466" s="27" t="str">
        <f aca="false">IF(B466="","",IFERROR(INDEX(Pessoas!$E:$E,MATCH(B466,Pessoas!$A:$A,0)),0))</f>
        <v/>
      </c>
      <c r="G466" s="27" t="str">
        <f aca="false">IF(E466="","",E466/60*F466)</f>
        <v/>
      </c>
    </row>
    <row r="467" customFormat="false" ht="15" hidden="false" customHeight="false" outlineLevel="0" collapsed="false">
      <c r="A467" s="25"/>
      <c r="E467" s="26"/>
      <c r="F467" s="27" t="str">
        <f aca="false">IF(B467="","",IFERROR(INDEX(Pessoas!$E:$E,MATCH(B467,Pessoas!$A:$A,0)),0))</f>
        <v/>
      </c>
      <c r="G467" s="27" t="str">
        <f aca="false">IF(E467="","",E467/60*F467)</f>
        <v/>
      </c>
    </row>
    <row r="468" customFormat="false" ht="15" hidden="false" customHeight="false" outlineLevel="0" collapsed="false">
      <c r="A468" s="25"/>
      <c r="E468" s="26"/>
      <c r="F468" s="27" t="str">
        <f aca="false">IF(B468="","",IFERROR(INDEX(Pessoas!$E:$E,MATCH(B468,Pessoas!$A:$A,0)),0))</f>
        <v/>
      </c>
      <c r="G468" s="27" t="str">
        <f aca="false">IF(E468="","",E468/60*F468)</f>
        <v/>
      </c>
    </row>
    <row r="469" customFormat="false" ht="15" hidden="false" customHeight="false" outlineLevel="0" collapsed="false">
      <c r="A469" s="25"/>
      <c r="E469" s="26"/>
      <c r="F469" s="27" t="str">
        <f aca="false">IF(B469="","",IFERROR(INDEX(Pessoas!$E:$E,MATCH(B469,Pessoas!$A:$A,0)),0))</f>
        <v/>
      </c>
      <c r="G469" s="27" t="str">
        <f aca="false">IF(E469="","",E469/60*F469)</f>
        <v/>
      </c>
    </row>
    <row r="470" customFormat="false" ht="15" hidden="false" customHeight="false" outlineLevel="0" collapsed="false">
      <c r="A470" s="25"/>
      <c r="E470" s="26"/>
      <c r="F470" s="27" t="str">
        <f aca="false">IF(B470="","",IFERROR(INDEX(Pessoas!$E:$E,MATCH(B470,Pessoas!$A:$A,0)),0))</f>
        <v/>
      </c>
      <c r="G470" s="27" t="str">
        <f aca="false">IF(E470="","",E470/60*F470)</f>
        <v/>
      </c>
    </row>
    <row r="471" customFormat="false" ht="15" hidden="false" customHeight="false" outlineLevel="0" collapsed="false">
      <c r="A471" s="25"/>
      <c r="E471" s="26"/>
      <c r="F471" s="27" t="str">
        <f aca="false">IF(B471="","",IFERROR(INDEX(Pessoas!$E:$E,MATCH(B471,Pessoas!$A:$A,0)),0))</f>
        <v/>
      </c>
      <c r="G471" s="27" t="str">
        <f aca="false">IF(E471="","",E471/60*F471)</f>
        <v/>
      </c>
    </row>
    <row r="472" customFormat="false" ht="15" hidden="false" customHeight="false" outlineLevel="0" collapsed="false">
      <c r="A472" s="25"/>
      <c r="E472" s="26"/>
      <c r="F472" s="27" t="str">
        <f aca="false">IF(B472="","",IFERROR(INDEX(Pessoas!$E:$E,MATCH(B472,Pessoas!$A:$A,0)),0))</f>
        <v/>
      </c>
      <c r="G472" s="27" t="str">
        <f aca="false">IF(E472="","",E472/60*F472)</f>
        <v/>
      </c>
    </row>
    <row r="473" customFormat="false" ht="15" hidden="false" customHeight="false" outlineLevel="0" collapsed="false">
      <c r="A473" s="25"/>
      <c r="E473" s="26"/>
      <c r="F473" s="27" t="str">
        <f aca="false">IF(B473="","",IFERROR(INDEX(Pessoas!$E:$E,MATCH(B473,Pessoas!$A:$A,0)),0))</f>
        <v/>
      </c>
      <c r="G473" s="27" t="str">
        <f aca="false">IF(E473="","",E473/60*F473)</f>
        <v/>
      </c>
    </row>
    <row r="474" customFormat="false" ht="15" hidden="false" customHeight="false" outlineLevel="0" collapsed="false">
      <c r="A474" s="25"/>
      <c r="E474" s="26"/>
      <c r="F474" s="27" t="str">
        <f aca="false">IF(B474="","",IFERROR(INDEX(Pessoas!$E:$E,MATCH(B474,Pessoas!$A:$A,0)),0))</f>
        <v/>
      </c>
      <c r="G474" s="27" t="str">
        <f aca="false">IF(E474="","",E474/60*F474)</f>
        <v/>
      </c>
    </row>
    <row r="475" customFormat="false" ht="15" hidden="false" customHeight="false" outlineLevel="0" collapsed="false">
      <c r="A475" s="25"/>
      <c r="E475" s="26"/>
      <c r="F475" s="27" t="str">
        <f aca="false">IF(B475="","",IFERROR(INDEX(Pessoas!$E:$E,MATCH(B475,Pessoas!$A:$A,0)),0))</f>
        <v/>
      </c>
      <c r="G475" s="27" t="str">
        <f aca="false">IF(E475="","",E475/60*F475)</f>
        <v/>
      </c>
    </row>
    <row r="476" customFormat="false" ht="15" hidden="false" customHeight="false" outlineLevel="0" collapsed="false">
      <c r="A476" s="25"/>
      <c r="E476" s="26"/>
      <c r="F476" s="27" t="str">
        <f aca="false">IF(B476="","",IFERROR(INDEX(Pessoas!$E:$E,MATCH(B476,Pessoas!$A:$A,0)),0))</f>
        <v/>
      </c>
      <c r="G476" s="27" t="str">
        <f aca="false">IF(E476="","",E476/60*F476)</f>
        <v/>
      </c>
    </row>
    <row r="477" customFormat="false" ht="15" hidden="false" customHeight="false" outlineLevel="0" collapsed="false">
      <c r="A477" s="25"/>
      <c r="E477" s="26"/>
      <c r="F477" s="27" t="str">
        <f aca="false">IF(B477="","",IFERROR(INDEX(Pessoas!$E:$E,MATCH(B477,Pessoas!$A:$A,0)),0))</f>
        <v/>
      </c>
      <c r="G477" s="27" t="str">
        <f aca="false">IF(E477="","",E477/60*F477)</f>
        <v/>
      </c>
    </row>
    <row r="478" customFormat="false" ht="15" hidden="false" customHeight="false" outlineLevel="0" collapsed="false">
      <c r="A478" s="25"/>
      <c r="E478" s="26"/>
      <c r="F478" s="27" t="str">
        <f aca="false">IF(B478="","",IFERROR(INDEX(Pessoas!$E:$E,MATCH(B478,Pessoas!$A:$A,0)),0))</f>
        <v/>
      </c>
      <c r="G478" s="27" t="str">
        <f aca="false">IF(E478="","",E478/60*F478)</f>
        <v/>
      </c>
    </row>
    <row r="479" customFormat="false" ht="15" hidden="false" customHeight="false" outlineLevel="0" collapsed="false">
      <c r="A479" s="25"/>
      <c r="E479" s="26"/>
      <c r="F479" s="27" t="str">
        <f aca="false">IF(B479="","",IFERROR(INDEX(Pessoas!$E:$E,MATCH(B479,Pessoas!$A:$A,0)),0))</f>
        <v/>
      </c>
      <c r="G479" s="27" t="str">
        <f aca="false">IF(E479="","",E479/60*F479)</f>
        <v/>
      </c>
    </row>
    <row r="480" customFormat="false" ht="15" hidden="false" customHeight="false" outlineLevel="0" collapsed="false">
      <c r="A480" s="25"/>
      <c r="E480" s="26"/>
      <c r="F480" s="27" t="str">
        <f aca="false">IF(B480="","",IFERROR(INDEX(Pessoas!$E:$E,MATCH(B480,Pessoas!$A:$A,0)),0))</f>
        <v/>
      </c>
      <c r="G480" s="27" t="str">
        <f aca="false">IF(E480="","",E480/60*F480)</f>
        <v/>
      </c>
    </row>
    <row r="481" customFormat="false" ht="15" hidden="false" customHeight="false" outlineLevel="0" collapsed="false">
      <c r="A481" s="25"/>
      <c r="E481" s="26"/>
      <c r="F481" s="27" t="str">
        <f aca="false">IF(B481="","",IFERROR(INDEX(Pessoas!$E:$E,MATCH(B481,Pessoas!$A:$A,0)),0))</f>
        <v/>
      </c>
      <c r="G481" s="27" t="str">
        <f aca="false">IF(E481="","",E481/60*F481)</f>
        <v/>
      </c>
    </row>
    <row r="482" customFormat="false" ht="15" hidden="false" customHeight="false" outlineLevel="0" collapsed="false">
      <c r="A482" s="25"/>
      <c r="E482" s="26"/>
      <c r="F482" s="27" t="str">
        <f aca="false">IF(B482="","",IFERROR(INDEX(Pessoas!$E:$E,MATCH(B482,Pessoas!$A:$A,0)),0))</f>
        <v/>
      </c>
      <c r="G482" s="27" t="str">
        <f aca="false">IF(E482="","",E482/60*F482)</f>
        <v/>
      </c>
    </row>
    <row r="483" customFormat="false" ht="15" hidden="false" customHeight="false" outlineLevel="0" collapsed="false">
      <c r="A483" s="25"/>
      <c r="E483" s="26"/>
      <c r="F483" s="27" t="str">
        <f aca="false">IF(B483="","",IFERROR(INDEX(Pessoas!$E:$E,MATCH(B483,Pessoas!$A:$A,0)),0))</f>
        <v/>
      </c>
      <c r="G483" s="27" t="str">
        <f aca="false">IF(E483="","",E483/60*F483)</f>
        <v/>
      </c>
    </row>
    <row r="484" customFormat="false" ht="15" hidden="false" customHeight="false" outlineLevel="0" collapsed="false">
      <c r="A484" s="25"/>
      <c r="E484" s="26"/>
      <c r="F484" s="27" t="str">
        <f aca="false">IF(B484="","",IFERROR(INDEX(Pessoas!$E:$E,MATCH(B484,Pessoas!$A:$A,0)),0))</f>
        <v/>
      </c>
      <c r="G484" s="27" t="str">
        <f aca="false">IF(E484="","",E484/60*F484)</f>
        <v/>
      </c>
    </row>
    <row r="485" customFormat="false" ht="15" hidden="false" customHeight="false" outlineLevel="0" collapsed="false">
      <c r="A485" s="25"/>
      <c r="E485" s="26"/>
      <c r="F485" s="27" t="str">
        <f aca="false">IF(B485="","",IFERROR(INDEX(Pessoas!$E:$E,MATCH(B485,Pessoas!$A:$A,0)),0))</f>
        <v/>
      </c>
      <c r="G485" s="27" t="str">
        <f aca="false">IF(E485="","",E485/60*F485)</f>
        <v/>
      </c>
    </row>
    <row r="486" customFormat="false" ht="15" hidden="false" customHeight="false" outlineLevel="0" collapsed="false">
      <c r="A486" s="25"/>
      <c r="E486" s="26"/>
      <c r="F486" s="27" t="str">
        <f aca="false">IF(B486="","",IFERROR(INDEX(Pessoas!$E:$E,MATCH(B486,Pessoas!$A:$A,0)),0))</f>
        <v/>
      </c>
      <c r="G486" s="27" t="str">
        <f aca="false">IF(E486="","",E486/60*F486)</f>
        <v/>
      </c>
    </row>
    <row r="487" customFormat="false" ht="15" hidden="false" customHeight="false" outlineLevel="0" collapsed="false">
      <c r="A487" s="25"/>
      <c r="E487" s="26"/>
      <c r="F487" s="27" t="str">
        <f aca="false">IF(B487="","",IFERROR(INDEX(Pessoas!$E:$E,MATCH(B487,Pessoas!$A:$A,0)),0))</f>
        <v/>
      </c>
      <c r="G487" s="27" t="str">
        <f aca="false">IF(E487="","",E487/60*F487)</f>
        <v/>
      </c>
    </row>
    <row r="488" customFormat="false" ht="15" hidden="false" customHeight="false" outlineLevel="0" collapsed="false">
      <c r="A488" s="25"/>
      <c r="E488" s="26"/>
      <c r="F488" s="27" t="str">
        <f aca="false">IF(B488="","",IFERROR(INDEX(Pessoas!$E:$E,MATCH(B488,Pessoas!$A:$A,0)),0))</f>
        <v/>
      </c>
      <c r="G488" s="27" t="str">
        <f aca="false">IF(E488="","",E488/60*F488)</f>
        <v/>
      </c>
    </row>
    <row r="489" customFormat="false" ht="15" hidden="false" customHeight="false" outlineLevel="0" collapsed="false">
      <c r="A489" s="25"/>
      <c r="E489" s="26"/>
      <c r="F489" s="27" t="str">
        <f aca="false">IF(B489="","",IFERROR(INDEX(Pessoas!$E:$E,MATCH(B489,Pessoas!$A:$A,0)),0))</f>
        <v/>
      </c>
      <c r="G489" s="27" t="str">
        <f aca="false">IF(E489="","",E489/60*F489)</f>
        <v/>
      </c>
    </row>
    <row r="490" customFormat="false" ht="15" hidden="false" customHeight="false" outlineLevel="0" collapsed="false">
      <c r="A490" s="25"/>
      <c r="E490" s="26"/>
      <c r="F490" s="27" t="str">
        <f aca="false">IF(B490="","",IFERROR(INDEX(Pessoas!$E:$E,MATCH(B490,Pessoas!$A:$A,0)),0))</f>
        <v/>
      </c>
      <c r="G490" s="27" t="str">
        <f aca="false">IF(E490="","",E490/60*F490)</f>
        <v/>
      </c>
    </row>
    <row r="491" customFormat="false" ht="15" hidden="false" customHeight="false" outlineLevel="0" collapsed="false">
      <c r="A491" s="25"/>
      <c r="E491" s="26"/>
      <c r="F491" s="27" t="str">
        <f aca="false">IF(B491="","",IFERROR(INDEX(Pessoas!$E:$E,MATCH(B491,Pessoas!$A:$A,0)),0))</f>
        <v/>
      </c>
      <c r="G491" s="27" t="str">
        <f aca="false">IF(E491="","",E491/60*F491)</f>
        <v/>
      </c>
    </row>
    <row r="492" customFormat="false" ht="15" hidden="false" customHeight="false" outlineLevel="0" collapsed="false">
      <c r="A492" s="25"/>
      <c r="E492" s="26"/>
      <c r="F492" s="27" t="str">
        <f aca="false">IF(B492="","",IFERROR(INDEX(Pessoas!$E:$E,MATCH(B492,Pessoas!$A:$A,0)),0))</f>
        <v/>
      </c>
      <c r="G492" s="27" t="str">
        <f aca="false">IF(E492="","",E492/60*F492)</f>
        <v/>
      </c>
    </row>
    <row r="493" customFormat="false" ht="15" hidden="false" customHeight="false" outlineLevel="0" collapsed="false">
      <c r="A493" s="25"/>
      <c r="E493" s="26"/>
      <c r="F493" s="27" t="str">
        <f aca="false">IF(B493="","",IFERROR(INDEX(Pessoas!$E:$E,MATCH(B493,Pessoas!$A:$A,0)),0))</f>
        <v/>
      </c>
      <c r="G493" s="27" t="str">
        <f aca="false">IF(E493="","",E493/60*F493)</f>
        <v/>
      </c>
    </row>
    <row r="494" customFormat="false" ht="15" hidden="false" customHeight="false" outlineLevel="0" collapsed="false">
      <c r="A494" s="25"/>
      <c r="E494" s="26"/>
      <c r="F494" s="27" t="str">
        <f aca="false">IF(B494="","",IFERROR(INDEX(Pessoas!$E:$E,MATCH(B494,Pessoas!$A:$A,0)),0))</f>
        <v/>
      </c>
      <c r="G494" s="27" t="str">
        <f aca="false">IF(E494="","",E494/60*F494)</f>
        <v/>
      </c>
    </row>
    <row r="495" customFormat="false" ht="15" hidden="false" customHeight="false" outlineLevel="0" collapsed="false">
      <c r="A495" s="25"/>
      <c r="E495" s="26"/>
      <c r="F495" s="27" t="str">
        <f aca="false">IF(B495="","",IFERROR(INDEX(Pessoas!$E:$E,MATCH(B495,Pessoas!$A:$A,0)),0))</f>
        <v/>
      </c>
      <c r="G495" s="27" t="str">
        <f aca="false">IF(E495="","",E495/60*F495)</f>
        <v/>
      </c>
    </row>
    <row r="496" customFormat="false" ht="15" hidden="false" customHeight="false" outlineLevel="0" collapsed="false">
      <c r="A496" s="25"/>
      <c r="E496" s="26"/>
      <c r="F496" s="27" t="str">
        <f aca="false">IF(B496="","",IFERROR(INDEX(Pessoas!$E:$E,MATCH(B496,Pessoas!$A:$A,0)),0))</f>
        <v/>
      </c>
      <c r="G496" s="27" t="str">
        <f aca="false">IF(E496="","",E496/60*F496)</f>
        <v/>
      </c>
    </row>
    <row r="497" customFormat="false" ht="15" hidden="false" customHeight="false" outlineLevel="0" collapsed="false">
      <c r="A497" s="25"/>
      <c r="E497" s="26"/>
      <c r="F497" s="27" t="str">
        <f aca="false">IF(B497="","",IFERROR(INDEX(Pessoas!$E:$E,MATCH(B497,Pessoas!$A:$A,0)),0))</f>
        <v/>
      </c>
      <c r="G497" s="27" t="str">
        <f aca="false">IF(E497="","",E497/60*F497)</f>
        <v/>
      </c>
    </row>
    <row r="498" customFormat="false" ht="15" hidden="false" customHeight="false" outlineLevel="0" collapsed="false">
      <c r="A498" s="25"/>
      <c r="E498" s="26"/>
      <c r="F498" s="27" t="str">
        <f aca="false">IF(B498="","",IFERROR(INDEX(Pessoas!$E:$E,MATCH(B498,Pessoas!$A:$A,0)),0))</f>
        <v/>
      </c>
      <c r="G498" s="27" t="str">
        <f aca="false">IF(E498="","",E498/60*F498)</f>
        <v/>
      </c>
    </row>
    <row r="499" customFormat="false" ht="15" hidden="false" customHeight="false" outlineLevel="0" collapsed="false">
      <c r="A499" s="25"/>
      <c r="E499" s="26"/>
      <c r="F499" s="27" t="str">
        <f aca="false">IF(B499="","",IFERROR(INDEX(Pessoas!$E:$E,MATCH(B499,Pessoas!$A:$A,0)),0))</f>
        <v/>
      </c>
      <c r="G499" s="27" t="str">
        <f aca="false">IF(E499="","",E499/60*F499)</f>
        <v/>
      </c>
    </row>
    <row r="500" customFormat="false" ht="15" hidden="false" customHeight="false" outlineLevel="0" collapsed="false">
      <c r="A500" s="25"/>
      <c r="E500" s="26"/>
      <c r="F500" s="27" t="str">
        <f aca="false">IF(B500="","",IFERROR(INDEX(Pessoas!$E:$E,MATCH(B500,Pessoas!$A:$A,0)),0))</f>
        <v/>
      </c>
      <c r="G500" s="27" t="str">
        <f aca="false">IF(E500="","",E500/60*F500)</f>
        <v/>
      </c>
    </row>
  </sheetData>
  <dataValidations count="2">
    <dataValidation allowBlank="true" errorStyle="stop" operator="between" showDropDown="false" showErrorMessage="false" showInputMessage="false" sqref="B2:B500" type="list">
      <formula1>Pessoas!$A$2:$A$20</formula1>
      <formula2>0</formula2>
    </dataValidation>
    <dataValidation allowBlank="true" errorStyle="stop" operator="between" showDropDown="false" showErrorMessage="false" showInputMessage="false" sqref="D2:D500" type="list">
      <formula1>Atividades!$B$2:$B$40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4" t="s">
        <v>95</v>
      </c>
      <c r="B1" s="4" t="s">
        <v>103</v>
      </c>
      <c r="C1" s="4" t="s">
        <v>96</v>
      </c>
      <c r="D1" s="4" t="s">
        <v>104</v>
      </c>
      <c r="E1" s="4" t="s">
        <v>105</v>
      </c>
      <c r="F1" s="4" t="s">
        <v>99</v>
      </c>
    </row>
    <row r="2" customFormat="false" ht="15" hidden="false" customHeight="false" outlineLevel="0" collapsed="false">
      <c r="A2" s="21" t="n">
        <v>46346</v>
      </c>
      <c r="B2" s="22" t="s">
        <v>106</v>
      </c>
      <c r="C2" s="22" t="s">
        <v>100</v>
      </c>
      <c r="D2" s="22" t="s">
        <v>107</v>
      </c>
      <c r="E2" s="28" t="n">
        <v>500</v>
      </c>
      <c r="F2" s="22" t="s">
        <v>101</v>
      </c>
    </row>
    <row r="3" customFormat="false" ht="15" hidden="false" customHeight="false" outlineLevel="0" collapsed="false">
      <c r="A3" s="25"/>
      <c r="E3" s="27"/>
    </row>
    <row r="4" customFormat="false" ht="15" hidden="false" customHeight="false" outlineLevel="0" collapsed="false">
      <c r="A4" s="25"/>
      <c r="E4" s="27"/>
    </row>
    <row r="5" customFormat="false" ht="15" hidden="false" customHeight="false" outlineLevel="0" collapsed="false">
      <c r="A5" s="25"/>
      <c r="E5" s="27"/>
    </row>
    <row r="6" customFormat="false" ht="15" hidden="false" customHeight="false" outlineLevel="0" collapsed="false">
      <c r="A6" s="25"/>
      <c r="E6" s="27"/>
    </row>
    <row r="7" customFormat="false" ht="15" hidden="false" customHeight="false" outlineLevel="0" collapsed="false">
      <c r="A7" s="25"/>
      <c r="E7" s="27"/>
    </row>
    <row r="8" customFormat="false" ht="15" hidden="false" customHeight="false" outlineLevel="0" collapsed="false">
      <c r="A8" s="25"/>
      <c r="E8" s="27"/>
    </row>
    <row r="9" customFormat="false" ht="15" hidden="false" customHeight="false" outlineLevel="0" collapsed="false">
      <c r="A9" s="25"/>
      <c r="E9" s="27"/>
    </row>
    <row r="10" customFormat="false" ht="15" hidden="false" customHeight="false" outlineLevel="0" collapsed="false">
      <c r="A10" s="25"/>
      <c r="E10" s="27"/>
    </row>
    <row r="11" customFormat="false" ht="15" hidden="false" customHeight="false" outlineLevel="0" collapsed="false">
      <c r="A11" s="25"/>
      <c r="E11" s="27"/>
    </row>
    <row r="12" customFormat="false" ht="15" hidden="false" customHeight="false" outlineLevel="0" collapsed="false">
      <c r="A12" s="25"/>
      <c r="E12" s="27"/>
    </row>
    <row r="13" customFormat="false" ht="15" hidden="false" customHeight="false" outlineLevel="0" collapsed="false">
      <c r="A13" s="25"/>
      <c r="E13" s="27"/>
    </row>
    <row r="14" customFormat="false" ht="15" hidden="false" customHeight="false" outlineLevel="0" collapsed="false">
      <c r="A14" s="25"/>
      <c r="E14" s="27"/>
    </row>
    <row r="15" customFormat="false" ht="15" hidden="false" customHeight="false" outlineLevel="0" collapsed="false">
      <c r="A15" s="25"/>
      <c r="E15" s="27"/>
    </row>
    <row r="16" customFormat="false" ht="15" hidden="false" customHeight="false" outlineLevel="0" collapsed="false">
      <c r="A16" s="25"/>
      <c r="E16" s="27"/>
    </row>
    <row r="17" customFormat="false" ht="15" hidden="false" customHeight="false" outlineLevel="0" collapsed="false">
      <c r="A17" s="25"/>
      <c r="E17" s="27"/>
    </row>
    <row r="18" customFormat="false" ht="15" hidden="false" customHeight="false" outlineLevel="0" collapsed="false">
      <c r="A18" s="25"/>
      <c r="E18" s="27"/>
    </row>
    <row r="19" customFormat="false" ht="15" hidden="false" customHeight="false" outlineLevel="0" collapsed="false">
      <c r="A19" s="25"/>
      <c r="E19" s="27"/>
    </row>
    <row r="20" customFormat="false" ht="15" hidden="false" customHeight="false" outlineLevel="0" collapsed="false">
      <c r="A20" s="25"/>
      <c r="E20" s="27"/>
    </row>
    <row r="21" customFormat="false" ht="15" hidden="false" customHeight="false" outlineLevel="0" collapsed="false">
      <c r="A21" s="25"/>
      <c r="E21" s="27"/>
    </row>
    <row r="22" customFormat="false" ht="15" hidden="false" customHeight="false" outlineLevel="0" collapsed="false">
      <c r="A22" s="25"/>
      <c r="E22" s="27"/>
    </row>
    <row r="23" customFormat="false" ht="15" hidden="false" customHeight="false" outlineLevel="0" collapsed="false">
      <c r="A23" s="25"/>
      <c r="E23" s="27"/>
    </row>
    <row r="24" customFormat="false" ht="15" hidden="false" customHeight="false" outlineLevel="0" collapsed="false">
      <c r="A24" s="25"/>
      <c r="E24" s="27"/>
    </row>
    <row r="25" customFormat="false" ht="15" hidden="false" customHeight="false" outlineLevel="0" collapsed="false">
      <c r="A25" s="25"/>
      <c r="E25" s="27"/>
    </row>
    <row r="26" customFormat="false" ht="15" hidden="false" customHeight="false" outlineLevel="0" collapsed="false">
      <c r="A26" s="25"/>
      <c r="E26" s="27"/>
    </row>
    <row r="27" customFormat="false" ht="15" hidden="false" customHeight="false" outlineLevel="0" collapsed="false">
      <c r="A27" s="25"/>
      <c r="E27" s="27"/>
    </row>
    <row r="28" customFormat="false" ht="15" hidden="false" customHeight="false" outlineLevel="0" collapsed="false">
      <c r="A28" s="25"/>
      <c r="E28" s="27"/>
    </row>
    <row r="29" customFormat="false" ht="15" hidden="false" customHeight="false" outlineLevel="0" collapsed="false">
      <c r="A29" s="25"/>
      <c r="E29" s="27"/>
    </row>
    <row r="30" customFormat="false" ht="15" hidden="false" customHeight="false" outlineLevel="0" collapsed="false">
      <c r="A30" s="25"/>
      <c r="E30" s="27"/>
    </row>
    <row r="31" customFormat="false" ht="15" hidden="false" customHeight="false" outlineLevel="0" collapsed="false">
      <c r="A31" s="25"/>
      <c r="E31" s="27"/>
    </row>
    <row r="32" customFormat="false" ht="15" hidden="false" customHeight="false" outlineLevel="0" collapsed="false">
      <c r="A32" s="25"/>
      <c r="E32" s="27"/>
    </row>
    <row r="33" customFormat="false" ht="15" hidden="false" customHeight="false" outlineLevel="0" collapsed="false">
      <c r="A33" s="25"/>
      <c r="E33" s="27"/>
    </row>
    <row r="34" customFormat="false" ht="15" hidden="false" customHeight="false" outlineLevel="0" collapsed="false">
      <c r="A34" s="25"/>
      <c r="E34" s="27"/>
    </row>
    <row r="35" customFormat="false" ht="15" hidden="false" customHeight="false" outlineLevel="0" collapsed="false">
      <c r="A35" s="25"/>
      <c r="E35" s="27"/>
    </row>
    <row r="36" customFormat="false" ht="15" hidden="false" customHeight="false" outlineLevel="0" collapsed="false">
      <c r="A36" s="25"/>
      <c r="E36" s="27"/>
    </row>
    <row r="37" customFormat="false" ht="15" hidden="false" customHeight="false" outlineLevel="0" collapsed="false">
      <c r="A37" s="25"/>
      <c r="E37" s="27"/>
    </row>
    <row r="38" customFormat="false" ht="15" hidden="false" customHeight="false" outlineLevel="0" collapsed="false">
      <c r="A38" s="25"/>
      <c r="E38" s="27"/>
    </row>
    <row r="39" customFormat="false" ht="15" hidden="false" customHeight="false" outlineLevel="0" collapsed="false">
      <c r="A39" s="25"/>
      <c r="E39" s="27"/>
    </row>
    <row r="40" customFormat="false" ht="15" hidden="false" customHeight="false" outlineLevel="0" collapsed="false">
      <c r="A40" s="25"/>
      <c r="E40" s="27"/>
    </row>
    <row r="41" customFormat="false" ht="15" hidden="false" customHeight="false" outlineLevel="0" collapsed="false">
      <c r="A41" s="25"/>
      <c r="E41" s="27"/>
    </row>
    <row r="42" customFormat="false" ht="15" hidden="false" customHeight="false" outlineLevel="0" collapsed="false">
      <c r="A42" s="25"/>
      <c r="E42" s="27"/>
    </row>
    <row r="43" customFormat="false" ht="15" hidden="false" customHeight="false" outlineLevel="0" collapsed="false">
      <c r="A43" s="25"/>
      <c r="E43" s="27"/>
    </row>
    <row r="44" customFormat="false" ht="15" hidden="false" customHeight="false" outlineLevel="0" collapsed="false">
      <c r="A44" s="25"/>
      <c r="E44" s="27"/>
    </row>
    <row r="45" customFormat="false" ht="15" hidden="false" customHeight="false" outlineLevel="0" collapsed="false">
      <c r="A45" s="25"/>
      <c r="E45" s="27"/>
    </row>
    <row r="46" customFormat="false" ht="15" hidden="false" customHeight="false" outlineLevel="0" collapsed="false">
      <c r="A46" s="25"/>
      <c r="E46" s="27"/>
    </row>
    <row r="47" customFormat="false" ht="15" hidden="false" customHeight="false" outlineLevel="0" collapsed="false">
      <c r="A47" s="25"/>
      <c r="E47" s="27"/>
    </row>
    <row r="48" customFormat="false" ht="15" hidden="false" customHeight="false" outlineLevel="0" collapsed="false">
      <c r="A48" s="25"/>
      <c r="E48" s="27"/>
    </row>
    <row r="49" customFormat="false" ht="15" hidden="false" customHeight="false" outlineLevel="0" collapsed="false">
      <c r="A49" s="25"/>
      <c r="E49" s="27"/>
    </row>
    <row r="50" customFormat="false" ht="15" hidden="false" customHeight="false" outlineLevel="0" collapsed="false">
      <c r="A50" s="25"/>
      <c r="E50" s="27"/>
    </row>
    <row r="51" customFormat="false" ht="15" hidden="false" customHeight="false" outlineLevel="0" collapsed="false">
      <c r="A51" s="25"/>
      <c r="E51" s="27"/>
    </row>
    <row r="52" customFormat="false" ht="15" hidden="false" customHeight="false" outlineLevel="0" collapsed="false">
      <c r="A52" s="25"/>
      <c r="E52" s="27"/>
    </row>
    <row r="53" customFormat="false" ht="15" hidden="false" customHeight="false" outlineLevel="0" collapsed="false">
      <c r="A53" s="25"/>
      <c r="E53" s="27"/>
    </row>
    <row r="54" customFormat="false" ht="15" hidden="false" customHeight="false" outlineLevel="0" collapsed="false">
      <c r="A54" s="25"/>
      <c r="E54" s="27"/>
    </row>
    <row r="55" customFormat="false" ht="15" hidden="false" customHeight="false" outlineLevel="0" collapsed="false">
      <c r="A55" s="25"/>
      <c r="E55" s="27"/>
    </row>
    <row r="56" customFormat="false" ht="15" hidden="false" customHeight="false" outlineLevel="0" collapsed="false">
      <c r="A56" s="25"/>
      <c r="E56" s="27"/>
    </row>
    <row r="57" customFormat="false" ht="15" hidden="false" customHeight="false" outlineLevel="0" collapsed="false">
      <c r="A57" s="25"/>
      <c r="E57" s="27"/>
    </row>
    <row r="58" customFormat="false" ht="15" hidden="false" customHeight="false" outlineLevel="0" collapsed="false">
      <c r="A58" s="25"/>
      <c r="E58" s="27"/>
    </row>
    <row r="59" customFormat="false" ht="15" hidden="false" customHeight="false" outlineLevel="0" collapsed="false">
      <c r="A59" s="25"/>
      <c r="E59" s="27"/>
    </row>
    <row r="60" customFormat="false" ht="15" hidden="false" customHeight="false" outlineLevel="0" collapsed="false">
      <c r="A60" s="25"/>
      <c r="E60" s="27"/>
    </row>
    <row r="61" customFormat="false" ht="15" hidden="false" customHeight="false" outlineLevel="0" collapsed="false">
      <c r="A61" s="25"/>
      <c r="E61" s="27"/>
    </row>
    <row r="62" customFormat="false" ht="15" hidden="false" customHeight="false" outlineLevel="0" collapsed="false">
      <c r="A62" s="25"/>
      <c r="E62" s="27"/>
    </row>
    <row r="63" customFormat="false" ht="15" hidden="false" customHeight="false" outlineLevel="0" collapsed="false">
      <c r="A63" s="25"/>
      <c r="E63" s="27"/>
    </row>
    <row r="64" customFormat="false" ht="15" hidden="false" customHeight="false" outlineLevel="0" collapsed="false">
      <c r="A64" s="25"/>
      <c r="E64" s="27"/>
    </row>
    <row r="65" customFormat="false" ht="15" hidden="false" customHeight="false" outlineLevel="0" collapsed="false">
      <c r="A65" s="25"/>
      <c r="E65" s="27"/>
    </row>
    <row r="66" customFormat="false" ht="15" hidden="false" customHeight="false" outlineLevel="0" collapsed="false">
      <c r="A66" s="25"/>
      <c r="E66" s="27"/>
    </row>
    <row r="67" customFormat="false" ht="15" hidden="false" customHeight="false" outlineLevel="0" collapsed="false">
      <c r="A67" s="25"/>
      <c r="E67" s="27"/>
    </row>
    <row r="68" customFormat="false" ht="15" hidden="false" customHeight="false" outlineLevel="0" collapsed="false">
      <c r="A68" s="25"/>
      <c r="E68" s="27"/>
    </row>
    <row r="69" customFormat="false" ht="15" hidden="false" customHeight="false" outlineLevel="0" collapsed="false">
      <c r="A69" s="25"/>
      <c r="E69" s="27"/>
    </row>
    <row r="70" customFormat="false" ht="15" hidden="false" customHeight="false" outlineLevel="0" collapsed="false">
      <c r="A70" s="25"/>
      <c r="E70" s="27"/>
    </row>
    <row r="71" customFormat="false" ht="15" hidden="false" customHeight="false" outlineLevel="0" collapsed="false">
      <c r="A71" s="25"/>
      <c r="E71" s="27"/>
    </row>
    <row r="72" customFormat="false" ht="15" hidden="false" customHeight="false" outlineLevel="0" collapsed="false">
      <c r="A72" s="25"/>
      <c r="E72" s="27"/>
    </row>
    <row r="73" customFormat="false" ht="15" hidden="false" customHeight="false" outlineLevel="0" collapsed="false">
      <c r="A73" s="25"/>
      <c r="E73" s="27"/>
    </row>
    <row r="74" customFormat="false" ht="15" hidden="false" customHeight="false" outlineLevel="0" collapsed="false">
      <c r="A74" s="25"/>
      <c r="E74" s="27"/>
    </row>
    <row r="75" customFormat="false" ht="15" hidden="false" customHeight="false" outlineLevel="0" collapsed="false">
      <c r="A75" s="25"/>
      <c r="E75" s="27"/>
    </row>
    <row r="76" customFormat="false" ht="15" hidden="false" customHeight="false" outlineLevel="0" collapsed="false">
      <c r="A76" s="25"/>
      <c r="E76" s="27"/>
    </row>
    <row r="77" customFormat="false" ht="15" hidden="false" customHeight="false" outlineLevel="0" collapsed="false">
      <c r="A77" s="25"/>
      <c r="E77" s="27"/>
    </row>
    <row r="78" customFormat="false" ht="15" hidden="false" customHeight="false" outlineLevel="0" collapsed="false">
      <c r="A78" s="25"/>
      <c r="E78" s="27"/>
    </row>
    <row r="79" customFormat="false" ht="15" hidden="false" customHeight="false" outlineLevel="0" collapsed="false">
      <c r="A79" s="25"/>
      <c r="E79" s="27"/>
    </row>
    <row r="80" customFormat="false" ht="15" hidden="false" customHeight="false" outlineLevel="0" collapsed="false">
      <c r="A80" s="25"/>
      <c r="E80" s="27"/>
    </row>
    <row r="81" customFormat="false" ht="15" hidden="false" customHeight="false" outlineLevel="0" collapsed="false">
      <c r="A81" s="25"/>
      <c r="E81" s="27"/>
    </row>
    <row r="82" customFormat="false" ht="15" hidden="false" customHeight="false" outlineLevel="0" collapsed="false">
      <c r="A82" s="25"/>
      <c r="E82" s="27"/>
    </row>
    <row r="83" customFormat="false" ht="15" hidden="false" customHeight="false" outlineLevel="0" collapsed="false">
      <c r="A83" s="25"/>
      <c r="E83" s="27"/>
    </row>
    <row r="84" customFormat="false" ht="15" hidden="false" customHeight="false" outlineLevel="0" collapsed="false">
      <c r="A84" s="25"/>
      <c r="E84" s="27"/>
    </row>
    <row r="85" customFormat="false" ht="15" hidden="false" customHeight="false" outlineLevel="0" collapsed="false">
      <c r="A85" s="25"/>
      <c r="E85" s="27"/>
    </row>
    <row r="86" customFormat="false" ht="15" hidden="false" customHeight="false" outlineLevel="0" collapsed="false">
      <c r="A86" s="25"/>
      <c r="E86" s="27"/>
    </row>
    <row r="87" customFormat="false" ht="15" hidden="false" customHeight="false" outlineLevel="0" collapsed="false">
      <c r="A87" s="25"/>
      <c r="E87" s="27"/>
    </row>
    <row r="88" customFormat="false" ht="15" hidden="false" customHeight="false" outlineLevel="0" collapsed="false">
      <c r="A88" s="25"/>
      <c r="E88" s="27"/>
    </row>
    <row r="89" customFormat="false" ht="15" hidden="false" customHeight="false" outlineLevel="0" collapsed="false">
      <c r="A89" s="25"/>
      <c r="E89" s="27"/>
    </row>
    <row r="90" customFormat="false" ht="15" hidden="false" customHeight="false" outlineLevel="0" collapsed="false">
      <c r="A90" s="25"/>
      <c r="E90" s="27"/>
    </row>
    <row r="91" customFormat="false" ht="15" hidden="false" customHeight="false" outlineLevel="0" collapsed="false">
      <c r="A91" s="25"/>
      <c r="E91" s="27"/>
    </row>
    <row r="92" customFormat="false" ht="15" hidden="false" customHeight="false" outlineLevel="0" collapsed="false">
      <c r="A92" s="25"/>
      <c r="E92" s="27"/>
    </row>
    <row r="93" customFormat="false" ht="15" hidden="false" customHeight="false" outlineLevel="0" collapsed="false">
      <c r="A93" s="25"/>
      <c r="E93" s="27"/>
    </row>
    <row r="94" customFormat="false" ht="15" hidden="false" customHeight="false" outlineLevel="0" collapsed="false">
      <c r="A94" s="25"/>
      <c r="E94" s="27"/>
    </row>
    <row r="95" customFormat="false" ht="15" hidden="false" customHeight="false" outlineLevel="0" collapsed="false">
      <c r="A95" s="25"/>
      <c r="E95" s="27"/>
    </row>
    <row r="96" customFormat="false" ht="15" hidden="false" customHeight="false" outlineLevel="0" collapsed="false">
      <c r="A96" s="25"/>
      <c r="E96" s="27"/>
    </row>
    <row r="97" customFormat="false" ht="15" hidden="false" customHeight="false" outlineLevel="0" collapsed="false">
      <c r="A97" s="25"/>
      <c r="E97" s="27"/>
    </row>
    <row r="98" customFormat="false" ht="15" hidden="false" customHeight="false" outlineLevel="0" collapsed="false">
      <c r="A98" s="25"/>
      <c r="E98" s="27"/>
    </row>
    <row r="99" customFormat="false" ht="15" hidden="false" customHeight="false" outlineLevel="0" collapsed="false">
      <c r="A99" s="25"/>
      <c r="E99" s="27"/>
    </row>
    <row r="100" customFormat="false" ht="15" hidden="false" customHeight="false" outlineLevel="0" collapsed="false">
      <c r="A100" s="25"/>
      <c r="E100" s="27"/>
    </row>
    <row r="101" customFormat="false" ht="15" hidden="false" customHeight="false" outlineLevel="0" collapsed="false">
      <c r="A101" s="25"/>
      <c r="E101" s="27"/>
    </row>
    <row r="102" customFormat="false" ht="15" hidden="false" customHeight="false" outlineLevel="0" collapsed="false">
      <c r="A102" s="25"/>
      <c r="E102" s="27"/>
    </row>
    <row r="103" customFormat="false" ht="15" hidden="false" customHeight="false" outlineLevel="0" collapsed="false">
      <c r="A103" s="25"/>
      <c r="E103" s="27"/>
    </row>
    <row r="104" customFormat="false" ht="15" hidden="false" customHeight="false" outlineLevel="0" collapsed="false">
      <c r="A104" s="25"/>
      <c r="E104" s="27"/>
    </row>
    <row r="105" customFormat="false" ht="15" hidden="false" customHeight="false" outlineLevel="0" collapsed="false">
      <c r="A105" s="25"/>
      <c r="E105" s="27"/>
    </row>
    <row r="106" customFormat="false" ht="15" hidden="false" customHeight="false" outlineLevel="0" collapsed="false">
      <c r="A106" s="25"/>
      <c r="E106" s="27"/>
    </row>
    <row r="107" customFormat="false" ht="15" hidden="false" customHeight="false" outlineLevel="0" collapsed="false">
      <c r="A107" s="25"/>
      <c r="E107" s="27"/>
    </row>
    <row r="108" customFormat="false" ht="15" hidden="false" customHeight="false" outlineLevel="0" collapsed="false">
      <c r="A108" s="25"/>
      <c r="E108" s="27"/>
    </row>
    <row r="109" customFormat="false" ht="15" hidden="false" customHeight="false" outlineLevel="0" collapsed="false">
      <c r="A109" s="25"/>
      <c r="E109" s="27"/>
    </row>
    <row r="110" customFormat="false" ht="15" hidden="false" customHeight="false" outlineLevel="0" collapsed="false">
      <c r="A110" s="25"/>
      <c r="E110" s="27"/>
    </row>
    <row r="111" customFormat="false" ht="15" hidden="false" customHeight="false" outlineLevel="0" collapsed="false">
      <c r="A111" s="25"/>
      <c r="E111" s="27"/>
    </row>
    <row r="112" customFormat="false" ht="15" hidden="false" customHeight="false" outlineLevel="0" collapsed="false">
      <c r="A112" s="25"/>
      <c r="E112" s="27"/>
    </row>
    <row r="113" customFormat="false" ht="15" hidden="false" customHeight="false" outlineLevel="0" collapsed="false">
      <c r="A113" s="25"/>
      <c r="E113" s="27"/>
    </row>
    <row r="114" customFormat="false" ht="15" hidden="false" customHeight="false" outlineLevel="0" collapsed="false">
      <c r="A114" s="25"/>
      <c r="E114" s="27"/>
    </row>
    <row r="115" customFormat="false" ht="15" hidden="false" customHeight="false" outlineLevel="0" collapsed="false">
      <c r="A115" s="25"/>
      <c r="E115" s="27"/>
    </row>
    <row r="116" customFormat="false" ht="15" hidden="false" customHeight="false" outlineLevel="0" collapsed="false">
      <c r="A116" s="25"/>
      <c r="E116" s="27"/>
    </row>
    <row r="117" customFormat="false" ht="15" hidden="false" customHeight="false" outlineLevel="0" collapsed="false">
      <c r="A117" s="25"/>
      <c r="E117" s="27"/>
    </row>
    <row r="118" customFormat="false" ht="15" hidden="false" customHeight="false" outlineLevel="0" collapsed="false">
      <c r="A118" s="25"/>
      <c r="E118" s="27"/>
    </row>
    <row r="119" customFormat="false" ht="15" hidden="false" customHeight="false" outlineLevel="0" collapsed="false">
      <c r="A119" s="25"/>
      <c r="E119" s="27"/>
    </row>
    <row r="120" customFormat="false" ht="15" hidden="false" customHeight="false" outlineLevel="0" collapsed="false">
      <c r="A120" s="25"/>
      <c r="E120" s="27"/>
    </row>
    <row r="121" customFormat="false" ht="15" hidden="false" customHeight="false" outlineLevel="0" collapsed="false">
      <c r="A121" s="25"/>
      <c r="E121" s="27"/>
    </row>
    <row r="122" customFormat="false" ht="15" hidden="false" customHeight="false" outlineLevel="0" collapsed="false">
      <c r="A122" s="25"/>
      <c r="E122" s="27"/>
    </row>
    <row r="123" customFormat="false" ht="15" hidden="false" customHeight="false" outlineLevel="0" collapsed="false">
      <c r="A123" s="25"/>
      <c r="E123" s="27"/>
    </row>
    <row r="124" customFormat="false" ht="15" hidden="false" customHeight="false" outlineLevel="0" collapsed="false">
      <c r="A124" s="25"/>
      <c r="E124" s="27"/>
    </row>
    <row r="125" customFormat="false" ht="15" hidden="false" customHeight="false" outlineLevel="0" collapsed="false">
      <c r="A125" s="25"/>
      <c r="E125" s="27"/>
    </row>
    <row r="126" customFormat="false" ht="15" hidden="false" customHeight="false" outlineLevel="0" collapsed="false">
      <c r="A126" s="25"/>
      <c r="E126" s="27"/>
    </row>
    <row r="127" customFormat="false" ht="15" hidden="false" customHeight="false" outlineLevel="0" collapsed="false">
      <c r="A127" s="25"/>
      <c r="E127" s="27"/>
    </row>
    <row r="128" customFormat="false" ht="15" hidden="false" customHeight="false" outlineLevel="0" collapsed="false">
      <c r="A128" s="25"/>
      <c r="E128" s="27"/>
    </row>
    <row r="129" customFormat="false" ht="15" hidden="false" customHeight="false" outlineLevel="0" collapsed="false">
      <c r="A129" s="25"/>
      <c r="E129" s="27"/>
    </row>
    <row r="130" customFormat="false" ht="15" hidden="false" customHeight="false" outlineLevel="0" collapsed="false">
      <c r="A130" s="25"/>
      <c r="E130" s="27"/>
    </row>
    <row r="131" customFormat="false" ht="15" hidden="false" customHeight="false" outlineLevel="0" collapsed="false">
      <c r="A131" s="25"/>
      <c r="E131" s="27"/>
    </row>
    <row r="132" customFormat="false" ht="15" hidden="false" customHeight="false" outlineLevel="0" collapsed="false">
      <c r="A132" s="25"/>
      <c r="E132" s="27"/>
    </row>
    <row r="133" customFormat="false" ht="15" hidden="false" customHeight="false" outlineLevel="0" collapsed="false">
      <c r="A133" s="25"/>
      <c r="E133" s="27"/>
    </row>
    <row r="134" customFormat="false" ht="15" hidden="false" customHeight="false" outlineLevel="0" collapsed="false">
      <c r="A134" s="25"/>
      <c r="E134" s="27"/>
    </row>
    <row r="135" customFormat="false" ht="15" hidden="false" customHeight="false" outlineLevel="0" collapsed="false">
      <c r="A135" s="25"/>
      <c r="E135" s="27"/>
    </row>
    <row r="136" customFormat="false" ht="15" hidden="false" customHeight="false" outlineLevel="0" collapsed="false">
      <c r="A136" s="25"/>
      <c r="E136" s="27"/>
    </row>
    <row r="137" customFormat="false" ht="15" hidden="false" customHeight="false" outlineLevel="0" collapsed="false">
      <c r="A137" s="25"/>
      <c r="E137" s="27"/>
    </row>
    <row r="138" customFormat="false" ht="15" hidden="false" customHeight="false" outlineLevel="0" collapsed="false">
      <c r="A138" s="25"/>
      <c r="E138" s="27"/>
    </row>
    <row r="139" customFormat="false" ht="15" hidden="false" customHeight="false" outlineLevel="0" collapsed="false">
      <c r="A139" s="25"/>
      <c r="E139" s="27"/>
    </row>
    <row r="140" customFormat="false" ht="15" hidden="false" customHeight="false" outlineLevel="0" collapsed="false">
      <c r="A140" s="25"/>
      <c r="E140" s="27"/>
    </row>
    <row r="141" customFormat="false" ht="15" hidden="false" customHeight="false" outlineLevel="0" collapsed="false">
      <c r="A141" s="25"/>
      <c r="E141" s="27"/>
    </row>
    <row r="142" customFormat="false" ht="15" hidden="false" customHeight="false" outlineLevel="0" collapsed="false">
      <c r="A142" s="25"/>
      <c r="E142" s="27"/>
    </row>
    <row r="143" customFormat="false" ht="15" hidden="false" customHeight="false" outlineLevel="0" collapsed="false">
      <c r="A143" s="25"/>
      <c r="E143" s="27"/>
    </row>
    <row r="144" customFormat="false" ht="15" hidden="false" customHeight="false" outlineLevel="0" collapsed="false">
      <c r="A144" s="25"/>
      <c r="E144" s="27"/>
    </row>
    <row r="145" customFormat="false" ht="15" hidden="false" customHeight="false" outlineLevel="0" collapsed="false">
      <c r="A145" s="25"/>
      <c r="E145" s="27"/>
    </row>
    <row r="146" customFormat="false" ht="15" hidden="false" customHeight="false" outlineLevel="0" collapsed="false">
      <c r="A146" s="25"/>
      <c r="E146" s="27"/>
    </row>
    <row r="147" customFormat="false" ht="15" hidden="false" customHeight="false" outlineLevel="0" collapsed="false">
      <c r="A147" s="25"/>
      <c r="E147" s="27"/>
    </row>
    <row r="148" customFormat="false" ht="15" hidden="false" customHeight="false" outlineLevel="0" collapsed="false">
      <c r="A148" s="25"/>
      <c r="E148" s="27"/>
    </row>
    <row r="149" customFormat="false" ht="15" hidden="false" customHeight="false" outlineLevel="0" collapsed="false">
      <c r="A149" s="25"/>
      <c r="E149" s="27"/>
    </row>
    <row r="150" customFormat="false" ht="15" hidden="false" customHeight="false" outlineLevel="0" collapsed="false">
      <c r="A150" s="25"/>
      <c r="E150" s="27"/>
    </row>
    <row r="151" customFormat="false" ht="15" hidden="false" customHeight="false" outlineLevel="0" collapsed="false">
      <c r="A151" s="25"/>
      <c r="E151" s="27"/>
    </row>
    <row r="152" customFormat="false" ht="15" hidden="false" customHeight="false" outlineLevel="0" collapsed="false">
      <c r="A152" s="25"/>
      <c r="E152" s="27"/>
    </row>
    <row r="153" customFormat="false" ht="15" hidden="false" customHeight="false" outlineLevel="0" collapsed="false">
      <c r="A153" s="25"/>
      <c r="E153" s="27"/>
    </row>
    <row r="154" customFormat="false" ht="15" hidden="false" customHeight="false" outlineLevel="0" collapsed="false">
      <c r="A154" s="25"/>
      <c r="E154" s="27"/>
    </row>
    <row r="155" customFormat="false" ht="15" hidden="false" customHeight="false" outlineLevel="0" collapsed="false">
      <c r="A155" s="25"/>
      <c r="E155" s="27"/>
    </row>
    <row r="156" customFormat="false" ht="15" hidden="false" customHeight="false" outlineLevel="0" collapsed="false">
      <c r="A156" s="25"/>
      <c r="E156" s="27"/>
    </row>
    <row r="157" customFormat="false" ht="15" hidden="false" customHeight="false" outlineLevel="0" collapsed="false">
      <c r="A157" s="25"/>
      <c r="E157" s="27"/>
    </row>
    <row r="158" customFormat="false" ht="15" hidden="false" customHeight="false" outlineLevel="0" collapsed="false">
      <c r="A158" s="25"/>
      <c r="E158" s="27"/>
    </row>
    <row r="159" customFormat="false" ht="15" hidden="false" customHeight="false" outlineLevel="0" collapsed="false">
      <c r="A159" s="25"/>
      <c r="E159" s="27"/>
    </row>
    <row r="160" customFormat="false" ht="15" hidden="false" customHeight="false" outlineLevel="0" collapsed="false">
      <c r="A160" s="25"/>
      <c r="E160" s="27"/>
    </row>
    <row r="161" customFormat="false" ht="15" hidden="false" customHeight="false" outlineLevel="0" collapsed="false">
      <c r="A161" s="25"/>
      <c r="E161" s="27"/>
    </row>
    <row r="162" customFormat="false" ht="15" hidden="false" customHeight="false" outlineLevel="0" collapsed="false">
      <c r="A162" s="25"/>
      <c r="E162" s="27"/>
    </row>
    <row r="163" customFormat="false" ht="15" hidden="false" customHeight="false" outlineLevel="0" collapsed="false">
      <c r="A163" s="25"/>
      <c r="E163" s="27"/>
    </row>
    <row r="164" customFormat="false" ht="15" hidden="false" customHeight="false" outlineLevel="0" collapsed="false">
      <c r="A164" s="25"/>
      <c r="E164" s="27"/>
    </row>
    <row r="165" customFormat="false" ht="15" hidden="false" customHeight="false" outlineLevel="0" collapsed="false">
      <c r="A165" s="25"/>
      <c r="E165" s="27"/>
    </row>
    <row r="166" customFormat="false" ht="15" hidden="false" customHeight="false" outlineLevel="0" collapsed="false">
      <c r="A166" s="25"/>
      <c r="E166" s="27"/>
    </row>
    <row r="167" customFormat="false" ht="15" hidden="false" customHeight="false" outlineLevel="0" collapsed="false">
      <c r="A167" s="25"/>
      <c r="E167" s="27"/>
    </row>
    <row r="168" customFormat="false" ht="15" hidden="false" customHeight="false" outlineLevel="0" collapsed="false">
      <c r="A168" s="25"/>
      <c r="E168" s="27"/>
    </row>
    <row r="169" customFormat="false" ht="15" hidden="false" customHeight="false" outlineLevel="0" collapsed="false">
      <c r="A169" s="25"/>
      <c r="E169" s="27"/>
    </row>
    <row r="170" customFormat="false" ht="15" hidden="false" customHeight="false" outlineLevel="0" collapsed="false">
      <c r="A170" s="25"/>
      <c r="E170" s="27"/>
    </row>
    <row r="171" customFormat="false" ht="15" hidden="false" customHeight="false" outlineLevel="0" collapsed="false">
      <c r="A171" s="25"/>
      <c r="E171" s="27"/>
    </row>
    <row r="172" customFormat="false" ht="15" hidden="false" customHeight="false" outlineLevel="0" collapsed="false">
      <c r="A172" s="25"/>
      <c r="E172" s="27"/>
    </row>
    <row r="173" customFormat="false" ht="15" hidden="false" customHeight="false" outlineLevel="0" collapsed="false">
      <c r="A173" s="25"/>
      <c r="E173" s="27"/>
    </row>
    <row r="174" customFormat="false" ht="15" hidden="false" customHeight="false" outlineLevel="0" collapsed="false">
      <c r="A174" s="25"/>
      <c r="E174" s="27"/>
    </row>
    <row r="175" customFormat="false" ht="15" hidden="false" customHeight="false" outlineLevel="0" collapsed="false">
      <c r="A175" s="25"/>
      <c r="E175" s="27"/>
    </row>
    <row r="176" customFormat="false" ht="15" hidden="false" customHeight="false" outlineLevel="0" collapsed="false">
      <c r="A176" s="25"/>
      <c r="E176" s="27"/>
    </row>
    <row r="177" customFormat="false" ht="15" hidden="false" customHeight="false" outlineLevel="0" collapsed="false">
      <c r="A177" s="25"/>
      <c r="E177" s="27"/>
    </row>
    <row r="178" customFormat="false" ht="15" hidden="false" customHeight="false" outlineLevel="0" collapsed="false">
      <c r="A178" s="25"/>
      <c r="E178" s="27"/>
    </row>
    <row r="179" customFormat="false" ht="15" hidden="false" customHeight="false" outlineLevel="0" collapsed="false">
      <c r="A179" s="25"/>
      <c r="E179" s="27"/>
    </row>
    <row r="180" customFormat="false" ht="15" hidden="false" customHeight="false" outlineLevel="0" collapsed="false">
      <c r="A180" s="25"/>
      <c r="E180" s="27"/>
    </row>
    <row r="181" customFormat="false" ht="15" hidden="false" customHeight="false" outlineLevel="0" collapsed="false">
      <c r="A181" s="25"/>
      <c r="E181" s="27"/>
    </row>
    <row r="182" customFormat="false" ht="15" hidden="false" customHeight="false" outlineLevel="0" collapsed="false">
      <c r="A182" s="25"/>
      <c r="E182" s="27"/>
    </row>
    <row r="183" customFormat="false" ht="15" hidden="false" customHeight="false" outlineLevel="0" collapsed="false">
      <c r="A183" s="25"/>
      <c r="E183" s="27"/>
    </row>
    <row r="184" customFormat="false" ht="15" hidden="false" customHeight="false" outlineLevel="0" collapsed="false">
      <c r="A184" s="25"/>
      <c r="E184" s="27"/>
    </row>
    <row r="185" customFormat="false" ht="15" hidden="false" customHeight="false" outlineLevel="0" collapsed="false">
      <c r="A185" s="25"/>
      <c r="E185" s="27"/>
    </row>
    <row r="186" customFormat="false" ht="15" hidden="false" customHeight="false" outlineLevel="0" collapsed="false">
      <c r="A186" s="25"/>
      <c r="E186" s="27"/>
    </row>
    <row r="187" customFormat="false" ht="15" hidden="false" customHeight="false" outlineLevel="0" collapsed="false">
      <c r="A187" s="25"/>
      <c r="E187" s="27"/>
    </row>
    <row r="188" customFormat="false" ht="15" hidden="false" customHeight="false" outlineLevel="0" collapsed="false">
      <c r="A188" s="25"/>
      <c r="E188" s="27"/>
    </row>
    <row r="189" customFormat="false" ht="15" hidden="false" customHeight="false" outlineLevel="0" collapsed="false">
      <c r="A189" s="25"/>
      <c r="E189" s="27"/>
    </row>
    <row r="190" customFormat="false" ht="15" hidden="false" customHeight="false" outlineLevel="0" collapsed="false">
      <c r="A190" s="25"/>
      <c r="E190" s="27"/>
    </row>
    <row r="191" customFormat="false" ht="15" hidden="false" customHeight="false" outlineLevel="0" collapsed="false">
      <c r="A191" s="25"/>
      <c r="E191" s="27"/>
    </row>
    <row r="192" customFormat="false" ht="15" hidden="false" customHeight="false" outlineLevel="0" collapsed="false">
      <c r="A192" s="25"/>
      <c r="E192" s="27"/>
    </row>
    <row r="193" customFormat="false" ht="15" hidden="false" customHeight="false" outlineLevel="0" collapsed="false">
      <c r="A193" s="25"/>
      <c r="E193" s="27"/>
    </row>
    <row r="194" customFormat="false" ht="15" hidden="false" customHeight="false" outlineLevel="0" collapsed="false">
      <c r="A194" s="25"/>
      <c r="E194" s="27"/>
    </row>
    <row r="195" customFormat="false" ht="15" hidden="false" customHeight="false" outlineLevel="0" collapsed="false">
      <c r="A195" s="25"/>
      <c r="E195" s="27"/>
    </row>
    <row r="196" customFormat="false" ht="15" hidden="false" customHeight="false" outlineLevel="0" collapsed="false">
      <c r="A196" s="25"/>
      <c r="E196" s="27"/>
    </row>
    <row r="197" customFormat="false" ht="15" hidden="false" customHeight="false" outlineLevel="0" collapsed="false">
      <c r="A197" s="25"/>
      <c r="E197" s="27"/>
    </row>
    <row r="198" customFormat="false" ht="15" hidden="false" customHeight="false" outlineLevel="0" collapsed="false">
      <c r="A198" s="25"/>
      <c r="E198" s="27"/>
    </row>
    <row r="199" customFormat="false" ht="15" hidden="false" customHeight="false" outlineLevel="0" collapsed="false">
      <c r="A199" s="25"/>
      <c r="E199" s="27"/>
    </row>
    <row r="200" customFormat="false" ht="15" hidden="false" customHeight="false" outlineLevel="0" collapsed="false">
      <c r="A200" s="25"/>
      <c r="E200" s="27"/>
    </row>
    <row r="201" customFormat="false" ht="15" hidden="false" customHeight="false" outlineLevel="0" collapsed="false">
      <c r="A201" s="25"/>
      <c r="E201" s="27"/>
    </row>
    <row r="202" customFormat="false" ht="15" hidden="false" customHeight="false" outlineLevel="0" collapsed="false">
      <c r="A202" s="25"/>
      <c r="E202" s="27"/>
    </row>
    <row r="203" customFormat="false" ht="15" hidden="false" customHeight="false" outlineLevel="0" collapsed="false">
      <c r="A203" s="25"/>
      <c r="E203" s="27"/>
    </row>
    <row r="204" customFormat="false" ht="15" hidden="false" customHeight="false" outlineLevel="0" collapsed="false">
      <c r="A204" s="25"/>
      <c r="E204" s="27"/>
    </row>
    <row r="205" customFormat="false" ht="15" hidden="false" customHeight="false" outlineLevel="0" collapsed="false">
      <c r="A205" s="25"/>
      <c r="E205" s="27"/>
    </row>
    <row r="206" customFormat="false" ht="15" hidden="false" customHeight="false" outlineLevel="0" collapsed="false">
      <c r="A206" s="25"/>
      <c r="E206" s="27"/>
    </row>
    <row r="207" customFormat="false" ht="15" hidden="false" customHeight="false" outlineLevel="0" collapsed="false">
      <c r="A207" s="25"/>
      <c r="E207" s="27"/>
    </row>
    <row r="208" customFormat="false" ht="15" hidden="false" customHeight="false" outlineLevel="0" collapsed="false">
      <c r="A208" s="25"/>
      <c r="E208" s="27"/>
    </row>
    <row r="209" customFormat="false" ht="15" hidden="false" customHeight="false" outlineLevel="0" collapsed="false">
      <c r="A209" s="25"/>
      <c r="E209" s="27"/>
    </row>
    <row r="210" customFormat="false" ht="15" hidden="false" customHeight="false" outlineLevel="0" collapsed="false">
      <c r="A210" s="25"/>
      <c r="E210" s="27"/>
    </row>
    <row r="211" customFormat="false" ht="15" hidden="false" customHeight="false" outlineLevel="0" collapsed="false">
      <c r="A211" s="25"/>
      <c r="E211" s="27"/>
    </row>
    <row r="212" customFormat="false" ht="15" hidden="false" customHeight="false" outlineLevel="0" collapsed="false">
      <c r="A212" s="25"/>
      <c r="E212" s="27"/>
    </row>
    <row r="213" customFormat="false" ht="15" hidden="false" customHeight="false" outlineLevel="0" collapsed="false">
      <c r="A213" s="25"/>
      <c r="E213" s="27"/>
    </row>
    <row r="214" customFormat="false" ht="15" hidden="false" customHeight="false" outlineLevel="0" collapsed="false">
      <c r="A214" s="25"/>
      <c r="E214" s="27"/>
    </row>
    <row r="215" customFormat="false" ht="15" hidden="false" customHeight="false" outlineLevel="0" collapsed="false">
      <c r="A215" s="25"/>
      <c r="E215" s="27"/>
    </row>
    <row r="216" customFormat="false" ht="15" hidden="false" customHeight="false" outlineLevel="0" collapsed="false">
      <c r="A216" s="25"/>
      <c r="E216" s="27"/>
    </row>
    <row r="217" customFormat="false" ht="15" hidden="false" customHeight="false" outlineLevel="0" collapsed="false">
      <c r="A217" s="25"/>
      <c r="E217" s="27"/>
    </row>
    <row r="218" customFormat="false" ht="15" hidden="false" customHeight="false" outlineLevel="0" collapsed="false">
      <c r="A218" s="25"/>
      <c r="E218" s="27"/>
    </row>
    <row r="219" customFormat="false" ht="15" hidden="false" customHeight="false" outlineLevel="0" collapsed="false">
      <c r="A219" s="25"/>
      <c r="E219" s="27"/>
    </row>
    <row r="220" customFormat="false" ht="15" hidden="false" customHeight="false" outlineLevel="0" collapsed="false">
      <c r="A220" s="25"/>
      <c r="E220" s="27"/>
    </row>
    <row r="221" customFormat="false" ht="15" hidden="false" customHeight="false" outlineLevel="0" collapsed="false">
      <c r="A221" s="25"/>
      <c r="E221" s="27"/>
    </row>
    <row r="222" customFormat="false" ht="15" hidden="false" customHeight="false" outlineLevel="0" collapsed="false">
      <c r="A222" s="25"/>
      <c r="E222" s="27"/>
    </row>
    <row r="223" customFormat="false" ht="15" hidden="false" customHeight="false" outlineLevel="0" collapsed="false">
      <c r="A223" s="25"/>
      <c r="E223" s="27"/>
    </row>
    <row r="224" customFormat="false" ht="15" hidden="false" customHeight="false" outlineLevel="0" collapsed="false">
      <c r="A224" s="25"/>
      <c r="E224" s="27"/>
    </row>
    <row r="225" customFormat="false" ht="15" hidden="false" customHeight="false" outlineLevel="0" collapsed="false">
      <c r="A225" s="25"/>
      <c r="E225" s="27"/>
    </row>
    <row r="226" customFormat="false" ht="15" hidden="false" customHeight="false" outlineLevel="0" collapsed="false">
      <c r="A226" s="25"/>
      <c r="E226" s="27"/>
    </row>
    <row r="227" customFormat="false" ht="15" hidden="false" customHeight="false" outlineLevel="0" collapsed="false">
      <c r="A227" s="25"/>
      <c r="E227" s="27"/>
    </row>
    <row r="228" customFormat="false" ht="15" hidden="false" customHeight="false" outlineLevel="0" collapsed="false">
      <c r="A228" s="25"/>
      <c r="E228" s="27"/>
    </row>
    <row r="229" customFormat="false" ht="15" hidden="false" customHeight="false" outlineLevel="0" collapsed="false">
      <c r="A229" s="25"/>
      <c r="E229" s="27"/>
    </row>
    <row r="230" customFormat="false" ht="15" hidden="false" customHeight="false" outlineLevel="0" collapsed="false">
      <c r="A230" s="25"/>
      <c r="E230" s="27"/>
    </row>
    <row r="231" customFormat="false" ht="15" hidden="false" customHeight="false" outlineLevel="0" collapsed="false">
      <c r="A231" s="25"/>
      <c r="E231" s="27"/>
    </row>
    <row r="232" customFormat="false" ht="15" hidden="false" customHeight="false" outlineLevel="0" collapsed="false">
      <c r="A232" s="25"/>
      <c r="E232" s="27"/>
    </row>
    <row r="233" customFormat="false" ht="15" hidden="false" customHeight="false" outlineLevel="0" collapsed="false">
      <c r="A233" s="25"/>
      <c r="E233" s="27"/>
    </row>
    <row r="234" customFormat="false" ht="15" hidden="false" customHeight="false" outlineLevel="0" collapsed="false">
      <c r="A234" s="25"/>
      <c r="E234" s="27"/>
    </row>
    <row r="235" customFormat="false" ht="15" hidden="false" customHeight="false" outlineLevel="0" collapsed="false">
      <c r="A235" s="25"/>
      <c r="E235" s="27"/>
    </row>
    <row r="236" customFormat="false" ht="15" hidden="false" customHeight="false" outlineLevel="0" collapsed="false">
      <c r="A236" s="25"/>
      <c r="E236" s="27"/>
    </row>
    <row r="237" customFormat="false" ht="15" hidden="false" customHeight="false" outlineLevel="0" collapsed="false">
      <c r="A237" s="25"/>
      <c r="E237" s="27"/>
    </row>
    <row r="238" customFormat="false" ht="15" hidden="false" customHeight="false" outlineLevel="0" collapsed="false">
      <c r="A238" s="25"/>
      <c r="E238" s="27"/>
    </row>
    <row r="239" customFormat="false" ht="15" hidden="false" customHeight="false" outlineLevel="0" collapsed="false">
      <c r="A239" s="25"/>
      <c r="E239" s="27"/>
    </row>
    <row r="240" customFormat="false" ht="15" hidden="false" customHeight="false" outlineLevel="0" collapsed="false">
      <c r="A240" s="25"/>
      <c r="E240" s="27"/>
    </row>
    <row r="241" customFormat="false" ht="15" hidden="false" customHeight="false" outlineLevel="0" collapsed="false">
      <c r="A241" s="25"/>
      <c r="E241" s="27"/>
    </row>
    <row r="242" customFormat="false" ht="15" hidden="false" customHeight="false" outlineLevel="0" collapsed="false">
      <c r="A242" s="25"/>
      <c r="E242" s="27"/>
    </row>
    <row r="243" customFormat="false" ht="15" hidden="false" customHeight="false" outlineLevel="0" collapsed="false">
      <c r="A243" s="25"/>
      <c r="E243" s="27"/>
    </row>
    <row r="244" customFormat="false" ht="15" hidden="false" customHeight="false" outlineLevel="0" collapsed="false">
      <c r="A244" s="25"/>
      <c r="E244" s="27"/>
    </row>
    <row r="245" customFormat="false" ht="15" hidden="false" customHeight="false" outlineLevel="0" collapsed="false">
      <c r="A245" s="25"/>
      <c r="E245" s="27"/>
    </row>
    <row r="246" customFormat="false" ht="15" hidden="false" customHeight="false" outlineLevel="0" collapsed="false">
      <c r="A246" s="25"/>
      <c r="E246" s="27"/>
    </row>
    <row r="247" customFormat="false" ht="15" hidden="false" customHeight="false" outlineLevel="0" collapsed="false">
      <c r="A247" s="25"/>
      <c r="E247" s="27"/>
    </row>
    <row r="248" customFormat="false" ht="15" hidden="false" customHeight="false" outlineLevel="0" collapsed="false">
      <c r="A248" s="25"/>
      <c r="E248" s="27"/>
    </row>
    <row r="249" customFormat="false" ht="15" hidden="false" customHeight="false" outlineLevel="0" collapsed="false">
      <c r="A249" s="25"/>
      <c r="E249" s="27"/>
    </row>
    <row r="250" customFormat="false" ht="15" hidden="false" customHeight="false" outlineLevel="0" collapsed="false">
      <c r="A250" s="25"/>
      <c r="E250" s="27"/>
    </row>
    <row r="251" customFormat="false" ht="15" hidden="false" customHeight="false" outlineLevel="0" collapsed="false">
      <c r="A251" s="25"/>
      <c r="E251" s="27"/>
    </row>
    <row r="252" customFormat="false" ht="15" hidden="false" customHeight="false" outlineLevel="0" collapsed="false">
      <c r="A252" s="25"/>
      <c r="E252" s="27"/>
    </row>
    <row r="253" customFormat="false" ht="15" hidden="false" customHeight="false" outlineLevel="0" collapsed="false">
      <c r="A253" s="25"/>
      <c r="E253" s="27"/>
    </row>
    <row r="254" customFormat="false" ht="15" hidden="false" customHeight="false" outlineLevel="0" collapsed="false">
      <c r="A254" s="25"/>
      <c r="E254" s="27"/>
    </row>
    <row r="255" customFormat="false" ht="15" hidden="false" customHeight="false" outlineLevel="0" collapsed="false">
      <c r="A255" s="25"/>
      <c r="E255" s="27"/>
    </row>
    <row r="256" customFormat="false" ht="15" hidden="false" customHeight="false" outlineLevel="0" collapsed="false">
      <c r="A256" s="25"/>
      <c r="E256" s="27"/>
    </row>
    <row r="257" customFormat="false" ht="15" hidden="false" customHeight="false" outlineLevel="0" collapsed="false">
      <c r="A257" s="25"/>
      <c r="E257" s="27"/>
    </row>
    <row r="258" customFormat="false" ht="15" hidden="false" customHeight="false" outlineLevel="0" collapsed="false">
      <c r="A258" s="25"/>
      <c r="E258" s="27"/>
    </row>
    <row r="259" customFormat="false" ht="15" hidden="false" customHeight="false" outlineLevel="0" collapsed="false">
      <c r="A259" s="25"/>
      <c r="E259" s="27"/>
    </row>
    <row r="260" customFormat="false" ht="15" hidden="false" customHeight="false" outlineLevel="0" collapsed="false">
      <c r="A260" s="25"/>
      <c r="E260" s="27"/>
    </row>
    <row r="261" customFormat="false" ht="15" hidden="false" customHeight="false" outlineLevel="0" collapsed="false">
      <c r="A261" s="25"/>
      <c r="E261" s="27"/>
    </row>
    <row r="262" customFormat="false" ht="15" hidden="false" customHeight="false" outlineLevel="0" collapsed="false">
      <c r="A262" s="25"/>
      <c r="E262" s="27"/>
    </row>
    <row r="263" customFormat="false" ht="15" hidden="false" customHeight="false" outlineLevel="0" collapsed="false">
      <c r="A263" s="25"/>
      <c r="E263" s="27"/>
    </row>
    <row r="264" customFormat="false" ht="15" hidden="false" customHeight="false" outlineLevel="0" collapsed="false">
      <c r="A264" s="25"/>
      <c r="E264" s="27"/>
    </row>
    <row r="265" customFormat="false" ht="15" hidden="false" customHeight="false" outlineLevel="0" collapsed="false">
      <c r="A265" s="25"/>
      <c r="E265" s="27"/>
    </row>
    <row r="266" customFormat="false" ht="15" hidden="false" customHeight="false" outlineLevel="0" collapsed="false">
      <c r="A266" s="25"/>
      <c r="E266" s="27"/>
    </row>
    <row r="267" customFormat="false" ht="15" hidden="false" customHeight="false" outlineLevel="0" collapsed="false">
      <c r="A267" s="25"/>
      <c r="E267" s="27"/>
    </row>
    <row r="268" customFormat="false" ht="15" hidden="false" customHeight="false" outlineLevel="0" collapsed="false">
      <c r="A268" s="25"/>
      <c r="E268" s="27"/>
    </row>
    <row r="269" customFormat="false" ht="15" hidden="false" customHeight="false" outlineLevel="0" collapsed="false">
      <c r="A269" s="25"/>
      <c r="E269" s="27"/>
    </row>
    <row r="270" customFormat="false" ht="15" hidden="false" customHeight="false" outlineLevel="0" collapsed="false">
      <c r="A270" s="25"/>
      <c r="E270" s="27"/>
    </row>
    <row r="271" customFormat="false" ht="15" hidden="false" customHeight="false" outlineLevel="0" collapsed="false">
      <c r="A271" s="25"/>
      <c r="E271" s="27"/>
    </row>
    <row r="272" customFormat="false" ht="15" hidden="false" customHeight="false" outlineLevel="0" collapsed="false">
      <c r="A272" s="25"/>
      <c r="E272" s="27"/>
    </row>
    <row r="273" customFormat="false" ht="15" hidden="false" customHeight="false" outlineLevel="0" collapsed="false">
      <c r="A273" s="25"/>
      <c r="E273" s="27"/>
    </row>
    <row r="274" customFormat="false" ht="15" hidden="false" customHeight="false" outlineLevel="0" collapsed="false">
      <c r="A274" s="25"/>
      <c r="E274" s="27"/>
    </row>
    <row r="275" customFormat="false" ht="15" hidden="false" customHeight="false" outlineLevel="0" collapsed="false">
      <c r="A275" s="25"/>
      <c r="E275" s="27"/>
    </row>
    <row r="276" customFormat="false" ht="15" hidden="false" customHeight="false" outlineLevel="0" collapsed="false">
      <c r="A276" s="25"/>
      <c r="E276" s="27"/>
    </row>
    <row r="277" customFormat="false" ht="15" hidden="false" customHeight="false" outlineLevel="0" collapsed="false">
      <c r="A277" s="25"/>
      <c r="E277" s="27"/>
    </row>
    <row r="278" customFormat="false" ht="15" hidden="false" customHeight="false" outlineLevel="0" collapsed="false">
      <c r="A278" s="25"/>
      <c r="E278" s="27"/>
    </row>
    <row r="279" customFormat="false" ht="15" hidden="false" customHeight="false" outlineLevel="0" collapsed="false">
      <c r="A279" s="25"/>
      <c r="E279" s="27"/>
    </row>
    <row r="280" customFormat="false" ht="15" hidden="false" customHeight="false" outlineLevel="0" collapsed="false">
      <c r="A280" s="25"/>
      <c r="E280" s="27"/>
    </row>
    <row r="281" customFormat="false" ht="15" hidden="false" customHeight="false" outlineLevel="0" collapsed="false">
      <c r="A281" s="25"/>
      <c r="E281" s="27"/>
    </row>
    <row r="282" customFormat="false" ht="15" hidden="false" customHeight="false" outlineLevel="0" collapsed="false">
      <c r="A282" s="25"/>
      <c r="E282" s="27"/>
    </row>
    <row r="283" customFormat="false" ht="15" hidden="false" customHeight="false" outlineLevel="0" collapsed="false">
      <c r="A283" s="25"/>
      <c r="E283" s="27"/>
    </row>
    <row r="284" customFormat="false" ht="15" hidden="false" customHeight="false" outlineLevel="0" collapsed="false">
      <c r="A284" s="25"/>
      <c r="E284" s="27"/>
    </row>
    <row r="285" customFormat="false" ht="15" hidden="false" customHeight="false" outlineLevel="0" collapsed="false">
      <c r="A285" s="25"/>
      <c r="E285" s="27"/>
    </row>
    <row r="286" customFormat="false" ht="15" hidden="false" customHeight="false" outlineLevel="0" collapsed="false">
      <c r="A286" s="25"/>
      <c r="E286" s="27"/>
    </row>
    <row r="287" customFormat="false" ht="15" hidden="false" customHeight="false" outlineLevel="0" collapsed="false">
      <c r="A287" s="25"/>
      <c r="E287" s="27"/>
    </row>
    <row r="288" customFormat="false" ht="15" hidden="false" customHeight="false" outlineLevel="0" collapsed="false">
      <c r="A288" s="25"/>
      <c r="E288" s="27"/>
    </row>
    <row r="289" customFormat="false" ht="15" hidden="false" customHeight="false" outlineLevel="0" collapsed="false">
      <c r="A289" s="25"/>
      <c r="E289" s="27"/>
    </row>
    <row r="290" customFormat="false" ht="15" hidden="false" customHeight="false" outlineLevel="0" collapsed="false">
      <c r="A290" s="25"/>
      <c r="E290" s="27"/>
    </row>
    <row r="291" customFormat="false" ht="15" hidden="false" customHeight="false" outlineLevel="0" collapsed="false">
      <c r="A291" s="25"/>
      <c r="E291" s="27"/>
    </row>
    <row r="292" customFormat="false" ht="15" hidden="false" customHeight="false" outlineLevel="0" collapsed="false">
      <c r="A292" s="25"/>
      <c r="E292" s="27"/>
    </row>
    <row r="293" customFormat="false" ht="15" hidden="false" customHeight="false" outlineLevel="0" collapsed="false">
      <c r="A293" s="25"/>
      <c r="E293" s="27"/>
    </row>
    <row r="294" customFormat="false" ht="15" hidden="false" customHeight="false" outlineLevel="0" collapsed="false">
      <c r="A294" s="25"/>
      <c r="E294" s="27"/>
    </row>
    <row r="295" customFormat="false" ht="15" hidden="false" customHeight="false" outlineLevel="0" collapsed="false">
      <c r="A295" s="25"/>
      <c r="E295" s="27"/>
    </row>
    <row r="296" customFormat="false" ht="15" hidden="false" customHeight="false" outlineLevel="0" collapsed="false">
      <c r="A296" s="25"/>
      <c r="E296" s="27"/>
    </row>
    <row r="297" customFormat="false" ht="15" hidden="false" customHeight="false" outlineLevel="0" collapsed="false">
      <c r="A297" s="25"/>
      <c r="E297" s="27"/>
    </row>
    <row r="298" customFormat="false" ht="15" hidden="false" customHeight="false" outlineLevel="0" collapsed="false">
      <c r="A298" s="25"/>
      <c r="E298" s="27"/>
    </row>
    <row r="299" customFormat="false" ht="15" hidden="false" customHeight="false" outlineLevel="0" collapsed="false">
      <c r="A299" s="25"/>
      <c r="E299" s="27"/>
    </row>
    <row r="300" customFormat="false" ht="15" hidden="false" customHeight="false" outlineLevel="0" collapsed="false">
      <c r="A300" s="25"/>
      <c r="E300" s="27"/>
    </row>
  </sheetData>
  <dataValidations count="1">
    <dataValidation allowBlank="true" errorStyle="stop" operator="between" showDropDown="false" showErrorMessage="false" showInputMessage="false" sqref="B2:B300" type="list">
      <formula1>"Evento,Kit e brindes,Deslocamento,Impressos,Ferramentas,Mídia,Outro"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2" min="10" style="0" width="18"/>
    <col collapsed="false" customWidth="true" hidden="false" outlineLevel="0" max="13" min="13" style="0" width="16"/>
    <col collapsed="false" customWidth="true" hidden="false" outlineLevel="0" max="14" min="14" style="0" width="12"/>
  </cols>
  <sheetData>
    <row r="1" customFormat="false" ht="39.55" hidden="false" customHeight="false" outlineLevel="0" collapsed="false">
      <c r="A1" s="4" t="s">
        <v>108</v>
      </c>
      <c r="B1" s="4" t="s">
        <v>96</v>
      </c>
      <c r="C1" s="4" t="s">
        <v>109</v>
      </c>
      <c r="D1" s="4" t="s">
        <v>110</v>
      </c>
      <c r="E1" s="4" t="s">
        <v>111</v>
      </c>
      <c r="F1" s="4" t="s">
        <v>112</v>
      </c>
      <c r="G1" s="4" t="s">
        <v>113</v>
      </c>
      <c r="H1" s="4" t="s">
        <v>114</v>
      </c>
      <c r="I1" s="4" t="s">
        <v>115</v>
      </c>
      <c r="J1" s="4" t="s">
        <v>116</v>
      </c>
      <c r="K1" s="4" t="s">
        <v>117</v>
      </c>
      <c r="L1" s="4" t="s">
        <v>118</v>
      </c>
      <c r="M1" s="4" t="s">
        <v>119</v>
      </c>
      <c r="N1" s="4" t="s">
        <v>99</v>
      </c>
    </row>
    <row r="2" customFormat="false" ht="15" hidden="false" customHeight="false" outlineLevel="0" collapsed="false">
      <c r="A2" s="21" t="n">
        <v>46366</v>
      </c>
      <c r="B2" s="22" t="s">
        <v>100</v>
      </c>
      <c r="C2" s="22" t="s">
        <v>35</v>
      </c>
      <c r="D2" s="22" t="s">
        <v>120</v>
      </c>
      <c r="E2" s="22" t="s">
        <v>121</v>
      </c>
      <c r="F2" s="28" t="n">
        <v>6000</v>
      </c>
      <c r="G2" s="23" t="n">
        <v>12</v>
      </c>
      <c r="H2" s="28"/>
      <c r="I2" s="28" t="n">
        <v>6000</v>
      </c>
      <c r="J2" s="24" t="n">
        <f aca="false">IF(A2="","",IF(C2="Wise Makers",F2*MIN(IF(G2="",Parametros!$B$5,G2),Parametros!$B$4),H2))</f>
        <v>72000</v>
      </c>
      <c r="K2" s="24" t="n">
        <f aca="false">IF(A2="","",I2*IFERROR(INDEX(Parametros!$B$13:$B$15,MATCH(C2,Parametros!$A$13:$A$15,0)),0))</f>
        <v>2400</v>
      </c>
      <c r="L2" s="24" t="n">
        <f aca="false">IF(A2="","",I2*IFERROR(INDEX(Parametros!$C$13:$C$15,MATCH(C2,Parametros!$A$13:$A$15,0)),0))</f>
        <v>600</v>
      </c>
      <c r="M2" s="24" t="n">
        <f aca="false">IF(A2="","",IF(C2="Wise Makers",F2,0))</f>
        <v>6000</v>
      </c>
      <c r="N2" s="22" t="s">
        <v>101</v>
      </c>
    </row>
    <row r="3" customFormat="false" ht="15" hidden="false" customHeight="false" outlineLevel="0" collapsed="false">
      <c r="A3" s="25"/>
      <c r="F3" s="27"/>
      <c r="H3" s="27"/>
      <c r="I3" s="27"/>
      <c r="J3" s="27" t="str">
        <f aca="false">IF(A3="","",IF(C3="Wise Makers",F3*MIN(IF(G3="",Parametros!$B$5,G3),Parametros!$B$4),H3))</f>
        <v/>
      </c>
      <c r="K3" s="27" t="str">
        <f aca="false">IF(A3="","",I3*IFERROR(INDEX(Parametros!$B$13:$B$15,MATCH(C3,Parametros!$A$13:$A$15,0)),0))</f>
        <v/>
      </c>
      <c r="L3" s="27" t="str">
        <f aca="false">IF(A3="","",I3*IFERROR(INDEX(Parametros!$C$13:$C$15,MATCH(C3,Parametros!$A$13:$A$15,0)),0))</f>
        <v/>
      </c>
      <c r="M3" s="27" t="str">
        <f aca="false">IF(A3="","",IF(C3="Wise Makers",F3,0))</f>
        <v/>
      </c>
    </row>
    <row r="4" customFormat="false" ht="15" hidden="false" customHeight="false" outlineLevel="0" collapsed="false">
      <c r="A4" s="25"/>
      <c r="F4" s="27"/>
      <c r="H4" s="27"/>
      <c r="I4" s="27"/>
      <c r="J4" s="27" t="str">
        <f aca="false">IF(A4="","",IF(C4="Wise Makers",F4*MIN(IF(G4="",Parametros!$B$5,G4),Parametros!$B$4),H4))</f>
        <v/>
      </c>
      <c r="K4" s="27" t="str">
        <f aca="false">IF(A4="","",I4*IFERROR(INDEX(Parametros!$B$13:$B$15,MATCH(C4,Parametros!$A$13:$A$15,0)),0))</f>
        <v/>
      </c>
      <c r="L4" s="27" t="str">
        <f aca="false">IF(A4="","",I4*IFERROR(INDEX(Parametros!$C$13:$C$15,MATCH(C4,Parametros!$A$13:$A$15,0)),0))</f>
        <v/>
      </c>
      <c r="M4" s="27" t="str">
        <f aca="false">IF(A4="","",IF(C4="Wise Makers",F4,0))</f>
        <v/>
      </c>
    </row>
    <row r="5" customFormat="false" ht="15" hidden="false" customHeight="false" outlineLevel="0" collapsed="false">
      <c r="A5" s="25"/>
      <c r="F5" s="27"/>
      <c r="H5" s="27"/>
      <c r="I5" s="27"/>
      <c r="J5" s="27" t="str">
        <f aca="false">IF(A5="","",IF(C5="Wise Makers",F5*MIN(IF(G5="",Parametros!$B$5,G5),Parametros!$B$4),H5))</f>
        <v/>
      </c>
      <c r="K5" s="27" t="str">
        <f aca="false">IF(A5="","",I5*IFERROR(INDEX(Parametros!$B$13:$B$15,MATCH(C5,Parametros!$A$13:$A$15,0)),0))</f>
        <v/>
      </c>
      <c r="L5" s="27" t="str">
        <f aca="false">IF(A5="","",I5*IFERROR(INDEX(Parametros!$C$13:$C$15,MATCH(C5,Parametros!$A$13:$A$15,0)),0))</f>
        <v/>
      </c>
      <c r="M5" s="27" t="str">
        <f aca="false">IF(A5="","",IF(C5="Wise Makers",F5,0))</f>
        <v/>
      </c>
    </row>
    <row r="6" customFormat="false" ht="15" hidden="false" customHeight="false" outlineLevel="0" collapsed="false">
      <c r="A6" s="25"/>
      <c r="F6" s="27"/>
      <c r="H6" s="27"/>
      <c r="I6" s="27"/>
      <c r="J6" s="27" t="str">
        <f aca="false">IF(A6="","",IF(C6="Wise Makers",F6*MIN(IF(G6="",Parametros!$B$5,G6),Parametros!$B$4),H6))</f>
        <v/>
      </c>
      <c r="K6" s="27" t="str">
        <f aca="false">IF(A6="","",I6*IFERROR(INDEX(Parametros!$B$13:$B$15,MATCH(C6,Parametros!$A$13:$A$15,0)),0))</f>
        <v/>
      </c>
      <c r="L6" s="27" t="str">
        <f aca="false">IF(A6="","",I6*IFERROR(INDEX(Parametros!$C$13:$C$15,MATCH(C6,Parametros!$A$13:$A$15,0)),0))</f>
        <v/>
      </c>
      <c r="M6" s="27" t="str">
        <f aca="false">IF(A6="","",IF(C6="Wise Makers",F6,0))</f>
        <v/>
      </c>
    </row>
    <row r="7" customFormat="false" ht="15" hidden="false" customHeight="false" outlineLevel="0" collapsed="false">
      <c r="A7" s="25"/>
      <c r="F7" s="27"/>
      <c r="H7" s="27"/>
      <c r="I7" s="27"/>
      <c r="J7" s="27" t="str">
        <f aca="false">IF(A7="","",IF(C7="Wise Makers",F7*MIN(IF(G7="",Parametros!$B$5,G7),Parametros!$B$4),H7))</f>
        <v/>
      </c>
      <c r="K7" s="27" t="str">
        <f aca="false">IF(A7="","",I7*IFERROR(INDEX(Parametros!$B$13:$B$15,MATCH(C7,Parametros!$A$13:$A$15,0)),0))</f>
        <v/>
      </c>
      <c r="L7" s="27" t="str">
        <f aca="false">IF(A7="","",I7*IFERROR(INDEX(Parametros!$C$13:$C$15,MATCH(C7,Parametros!$A$13:$A$15,0)),0))</f>
        <v/>
      </c>
      <c r="M7" s="27" t="str">
        <f aca="false">IF(A7="","",IF(C7="Wise Makers",F7,0))</f>
        <v/>
      </c>
    </row>
    <row r="8" customFormat="false" ht="15" hidden="false" customHeight="false" outlineLevel="0" collapsed="false">
      <c r="A8" s="25"/>
      <c r="F8" s="27"/>
      <c r="H8" s="27"/>
      <c r="I8" s="27"/>
      <c r="J8" s="27" t="str">
        <f aca="false">IF(A8="","",IF(C8="Wise Makers",F8*MIN(IF(G8="",Parametros!$B$5,G8),Parametros!$B$4),H8))</f>
        <v/>
      </c>
      <c r="K8" s="27" t="str">
        <f aca="false">IF(A8="","",I8*IFERROR(INDEX(Parametros!$B$13:$B$15,MATCH(C8,Parametros!$A$13:$A$15,0)),0))</f>
        <v/>
      </c>
      <c r="L8" s="27" t="str">
        <f aca="false">IF(A8="","",I8*IFERROR(INDEX(Parametros!$C$13:$C$15,MATCH(C8,Parametros!$A$13:$A$15,0)),0))</f>
        <v/>
      </c>
      <c r="M8" s="27" t="str">
        <f aca="false">IF(A8="","",IF(C8="Wise Makers",F8,0))</f>
        <v/>
      </c>
    </row>
    <row r="9" customFormat="false" ht="15" hidden="false" customHeight="false" outlineLevel="0" collapsed="false">
      <c r="A9" s="25"/>
      <c r="F9" s="27"/>
      <c r="H9" s="27"/>
      <c r="I9" s="27"/>
      <c r="J9" s="27" t="str">
        <f aca="false">IF(A9="","",IF(C9="Wise Makers",F9*MIN(IF(G9="",Parametros!$B$5,G9),Parametros!$B$4),H9))</f>
        <v/>
      </c>
      <c r="K9" s="27" t="str">
        <f aca="false">IF(A9="","",I9*IFERROR(INDEX(Parametros!$B$13:$B$15,MATCH(C9,Parametros!$A$13:$A$15,0)),0))</f>
        <v/>
      </c>
      <c r="L9" s="27" t="str">
        <f aca="false">IF(A9="","",I9*IFERROR(INDEX(Parametros!$C$13:$C$15,MATCH(C9,Parametros!$A$13:$A$15,0)),0))</f>
        <v/>
      </c>
      <c r="M9" s="27" t="str">
        <f aca="false">IF(A9="","",IF(C9="Wise Makers",F9,0))</f>
        <v/>
      </c>
    </row>
    <row r="10" customFormat="false" ht="15" hidden="false" customHeight="false" outlineLevel="0" collapsed="false">
      <c r="A10" s="25"/>
      <c r="F10" s="27"/>
      <c r="H10" s="27"/>
      <c r="I10" s="27"/>
      <c r="J10" s="27" t="str">
        <f aca="false">IF(A10="","",IF(C10="Wise Makers",F10*MIN(IF(G10="",Parametros!$B$5,G10),Parametros!$B$4),H10))</f>
        <v/>
      </c>
      <c r="K10" s="27" t="str">
        <f aca="false">IF(A10="","",I10*IFERROR(INDEX(Parametros!$B$13:$B$15,MATCH(C10,Parametros!$A$13:$A$15,0)),0))</f>
        <v/>
      </c>
      <c r="L10" s="27" t="str">
        <f aca="false">IF(A10="","",I10*IFERROR(INDEX(Parametros!$C$13:$C$15,MATCH(C10,Parametros!$A$13:$A$15,0)),0))</f>
        <v/>
      </c>
      <c r="M10" s="27" t="str">
        <f aca="false">IF(A10="","",IF(C10="Wise Makers",F10,0))</f>
        <v/>
      </c>
    </row>
    <row r="11" customFormat="false" ht="15" hidden="false" customHeight="false" outlineLevel="0" collapsed="false">
      <c r="A11" s="25"/>
      <c r="F11" s="27"/>
      <c r="H11" s="27"/>
      <c r="I11" s="27"/>
      <c r="J11" s="27" t="str">
        <f aca="false">IF(A11="","",IF(C11="Wise Makers",F11*MIN(IF(G11="",Parametros!$B$5,G11),Parametros!$B$4),H11))</f>
        <v/>
      </c>
      <c r="K11" s="27" t="str">
        <f aca="false">IF(A11="","",I11*IFERROR(INDEX(Parametros!$B$13:$B$15,MATCH(C11,Parametros!$A$13:$A$15,0)),0))</f>
        <v/>
      </c>
      <c r="L11" s="27" t="str">
        <f aca="false">IF(A11="","",I11*IFERROR(INDEX(Parametros!$C$13:$C$15,MATCH(C11,Parametros!$A$13:$A$15,0)),0))</f>
        <v/>
      </c>
      <c r="M11" s="27" t="str">
        <f aca="false">IF(A11="","",IF(C11="Wise Makers",F11,0))</f>
        <v/>
      </c>
    </row>
    <row r="12" customFormat="false" ht="15" hidden="false" customHeight="false" outlineLevel="0" collapsed="false">
      <c r="A12" s="25"/>
      <c r="F12" s="27"/>
      <c r="H12" s="27"/>
      <c r="I12" s="27"/>
      <c r="J12" s="27" t="str">
        <f aca="false">IF(A12="","",IF(C12="Wise Makers",F12*MIN(IF(G12="",Parametros!$B$5,G12),Parametros!$B$4),H12))</f>
        <v/>
      </c>
      <c r="K12" s="27" t="str">
        <f aca="false">IF(A12="","",I12*IFERROR(INDEX(Parametros!$B$13:$B$15,MATCH(C12,Parametros!$A$13:$A$15,0)),0))</f>
        <v/>
      </c>
      <c r="L12" s="27" t="str">
        <f aca="false">IF(A12="","",I12*IFERROR(INDEX(Parametros!$C$13:$C$15,MATCH(C12,Parametros!$A$13:$A$15,0)),0))</f>
        <v/>
      </c>
      <c r="M12" s="27" t="str">
        <f aca="false">IF(A12="","",IF(C12="Wise Makers",F12,0))</f>
        <v/>
      </c>
    </row>
    <row r="13" customFormat="false" ht="15" hidden="false" customHeight="false" outlineLevel="0" collapsed="false">
      <c r="A13" s="25"/>
      <c r="F13" s="27"/>
      <c r="H13" s="27"/>
      <c r="I13" s="27"/>
      <c r="J13" s="27" t="str">
        <f aca="false">IF(A13="","",IF(C13="Wise Makers",F13*MIN(IF(G13="",Parametros!$B$5,G13),Parametros!$B$4),H13))</f>
        <v/>
      </c>
      <c r="K13" s="27" t="str">
        <f aca="false">IF(A13="","",I13*IFERROR(INDEX(Parametros!$B$13:$B$15,MATCH(C13,Parametros!$A$13:$A$15,0)),0))</f>
        <v/>
      </c>
      <c r="L13" s="27" t="str">
        <f aca="false">IF(A13="","",I13*IFERROR(INDEX(Parametros!$C$13:$C$15,MATCH(C13,Parametros!$A$13:$A$15,0)),0))</f>
        <v/>
      </c>
      <c r="M13" s="27" t="str">
        <f aca="false">IF(A13="","",IF(C13="Wise Makers",F13,0))</f>
        <v/>
      </c>
    </row>
    <row r="14" customFormat="false" ht="15" hidden="false" customHeight="false" outlineLevel="0" collapsed="false">
      <c r="A14" s="25"/>
      <c r="F14" s="27"/>
      <c r="H14" s="27"/>
      <c r="I14" s="27"/>
      <c r="J14" s="27" t="str">
        <f aca="false">IF(A14="","",IF(C14="Wise Makers",F14*MIN(IF(G14="",Parametros!$B$5,G14),Parametros!$B$4),H14))</f>
        <v/>
      </c>
      <c r="K14" s="27" t="str">
        <f aca="false">IF(A14="","",I14*IFERROR(INDEX(Parametros!$B$13:$B$15,MATCH(C14,Parametros!$A$13:$A$15,0)),0))</f>
        <v/>
      </c>
      <c r="L14" s="27" t="str">
        <f aca="false">IF(A14="","",I14*IFERROR(INDEX(Parametros!$C$13:$C$15,MATCH(C14,Parametros!$A$13:$A$15,0)),0))</f>
        <v/>
      </c>
      <c r="M14" s="27" t="str">
        <f aca="false">IF(A14="","",IF(C14="Wise Makers",F14,0))</f>
        <v/>
      </c>
    </row>
    <row r="15" customFormat="false" ht="15" hidden="false" customHeight="false" outlineLevel="0" collapsed="false">
      <c r="A15" s="25"/>
      <c r="F15" s="27"/>
      <c r="H15" s="27"/>
      <c r="I15" s="27"/>
      <c r="J15" s="27" t="str">
        <f aca="false">IF(A15="","",IF(C15="Wise Makers",F15*MIN(IF(G15="",Parametros!$B$5,G15),Parametros!$B$4),H15))</f>
        <v/>
      </c>
      <c r="K15" s="27" t="str">
        <f aca="false">IF(A15="","",I15*IFERROR(INDEX(Parametros!$B$13:$B$15,MATCH(C15,Parametros!$A$13:$A$15,0)),0))</f>
        <v/>
      </c>
      <c r="L15" s="27" t="str">
        <f aca="false">IF(A15="","",I15*IFERROR(INDEX(Parametros!$C$13:$C$15,MATCH(C15,Parametros!$A$13:$A$15,0)),0))</f>
        <v/>
      </c>
      <c r="M15" s="27" t="str">
        <f aca="false">IF(A15="","",IF(C15="Wise Makers",F15,0))</f>
        <v/>
      </c>
    </row>
    <row r="16" customFormat="false" ht="15" hidden="false" customHeight="false" outlineLevel="0" collapsed="false">
      <c r="A16" s="25"/>
      <c r="F16" s="27"/>
      <c r="H16" s="27"/>
      <c r="I16" s="27"/>
      <c r="J16" s="27" t="str">
        <f aca="false">IF(A16="","",IF(C16="Wise Makers",F16*MIN(IF(G16="",Parametros!$B$5,G16),Parametros!$B$4),H16))</f>
        <v/>
      </c>
      <c r="K16" s="27" t="str">
        <f aca="false">IF(A16="","",I16*IFERROR(INDEX(Parametros!$B$13:$B$15,MATCH(C16,Parametros!$A$13:$A$15,0)),0))</f>
        <v/>
      </c>
      <c r="L16" s="27" t="str">
        <f aca="false">IF(A16="","",I16*IFERROR(INDEX(Parametros!$C$13:$C$15,MATCH(C16,Parametros!$A$13:$A$15,0)),0))</f>
        <v/>
      </c>
      <c r="M16" s="27" t="str">
        <f aca="false">IF(A16="","",IF(C16="Wise Makers",F16,0))</f>
        <v/>
      </c>
    </row>
    <row r="17" customFormat="false" ht="15" hidden="false" customHeight="false" outlineLevel="0" collapsed="false">
      <c r="A17" s="25"/>
      <c r="F17" s="27"/>
      <c r="H17" s="27"/>
      <c r="I17" s="27"/>
      <c r="J17" s="27" t="str">
        <f aca="false">IF(A17="","",IF(C17="Wise Makers",F17*MIN(IF(G17="",Parametros!$B$5,G17),Parametros!$B$4),H17))</f>
        <v/>
      </c>
      <c r="K17" s="27" t="str">
        <f aca="false">IF(A17="","",I17*IFERROR(INDEX(Parametros!$B$13:$B$15,MATCH(C17,Parametros!$A$13:$A$15,0)),0))</f>
        <v/>
      </c>
      <c r="L17" s="27" t="str">
        <f aca="false">IF(A17="","",I17*IFERROR(INDEX(Parametros!$C$13:$C$15,MATCH(C17,Parametros!$A$13:$A$15,0)),0))</f>
        <v/>
      </c>
      <c r="M17" s="27" t="str">
        <f aca="false">IF(A17="","",IF(C17="Wise Makers",F17,0))</f>
        <v/>
      </c>
    </row>
    <row r="18" customFormat="false" ht="15" hidden="false" customHeight="false" outlineLevel="0" collapsed="false">
      <c r="A18" s="25"/>
      <c r="F18" s="27"/>
      <c r="H18" s="27"/>
      <c r="I18" s="27"/>
      <c r="J18" s="27" t="str">
        <f aca="false">IF(A18="","",IF(C18="Wise Makers",F18*MIN(IF(G18="",Parametros!$B$5,G18),Parametros!$B$4),H18))</f>
        <v/>
      </c>
      <c r="K18" s="27" t="str">
        <f aca="false">IF(A18="","",I18*IFERROR(INDEX(Parametros!$B$13:$B$15,MATCH(C18,Parametros!$A$13:$A$15,0)),0))</f>
        <v/>
      </c>
      <c r="L18" s="27" t="str">
        <f aca="false">IF(A18="","",I18*IFERROR(INDEX(Parametros!$C$13:$C$15,MATCH(C18,Parametros!$A$13:$A$15,0)),0))</f>
        <v/>
      </c>
      <c r="M18" s="27" t="str">
        <f aca="false">IF(A18="","",IF(C18="Wise Makers",F18,0))</f>
        <v/>
      </c>
    </row>
    <row r="19" customFormat="false" ht="15" hidden="false" customHeight="false" outlineLevel="0" collapsed="false">
      <c r="A19" s="25"/>
      <c r="F19" s="27"/>
      <c r="H19" s="27"/>
      <c r="I19" s="27"/>
      <c r="J19" s="27" t="str">
        <f aca="false">IF(A19="","",IF(C19="Wise Makers",F19*MIN(IF(G19="",Parametros!$B$5,G19),Parametros!$B$4),H19))</f>
        <v/>
      </c>
      <c r="K19" s="27" t="str">
        <f aca="false">IF(A19="","",I19*IFERROR(INDEX(Parametros!$B$13:$B$15,MATCH(C19,Parametros!$A$13:$A$15,0)),0))</f>
        <v/>
      </c>
      <c r="L19" s="27" t="str">
        <f aca="false">IF(A19="","",I19*IFERROR(INDEX(Parametros!$C$13:$C$15,MATCH(C19,Parametros!$A$13:$A$15,0)),0))</f>
        <v/>
      </c>
      <c r="M19" s="27" t="str">
        <f aca="false">IF(A19="","",IF(C19="Wise Makers",F19,0))</f>
        <v/>
      </c>
    </row>
    <row r="20" customFormat="false" ht="15" hidden="false" customHeight="false" outlineLevel="0" collapsed="false">
      <c r="A20" s="25"/>
      <c r="F20" s="27"/>
      <c r="H20" s="27"/>
      <c r="I20" s="27"/>
      <c r="J20" s="27" t="str">
        <f aca="false">IF(A20="","",IF(C20="Wise Makers",F20*MIN(IF(G20="",Parametros!$B$5,G20),Parametros!$B$4),H20))</f>
        <v/>
      </c>
      <c r="K20" s="27" t="str">
        <f aca="false">IF(A20="","",I20*IFERROR(INDEX(Parametros!$B$13:$B$15,MATCH(C20,Parametros!$A$13:$A$15,0)),0))</f>
        <v/>
      </c>
      <c r="L20" s="27" t="str">
        <f aca="false">IF(A20="","",I20*IFERROR(INDEX(Parametros!$C$13:$C$15,MATCH(C20,Parametros!$A$13:$A$15,0)),0))</f>
        <v/>
      </c>
      <c r="M20" s="27" t="str">
        <f aca="false">IF(A20="","",IF(C20="Wise Makers",F20,0))</f>
        <v/>
      </c>
    </row>
    <row r="21" customFormat="false" ht="15" hidden="false" customHeight="false" outlineLevel="0" collapsed="false">
      <c r="A21" s="25"/>
      <c r="F21" s="27"/>
      <c r="H21" s="27"/>
      <c r="I21" s="27"/>
      <c r="J21" s="27" t="str">
        <f aca="false">IF(A21="","",IF(C21="Wise Makers",F21*MIN(IF(G21="",Parametros!$B$5,G21),Parametros!$B$4),H21))</f>
        <v/>
      </c>
      <c r="K21" s="27" t="str">
        <f aca="false">IF(A21="","",I21*IFERROR(INDEX(Parametros!$B$13:$B$15,MATCH(C21,Parametros!$A$13:$A$15,0)),0))</f>
        <v/>
      </c>
      <c r="L21" s="27" t="str">
        <f aca="false">IF(A21="","",I21*IFERROR(INDEX(Parametros!$C$13:$C$15,MATCH(C21,Parametros!$A$13:$A$15,0)),0))</f>
        <v/>
      </c>
      <c r="M21" s="27" t="str">
        <f aca="false">IF(A21="","",IF(C21="Wise Makers",F21,0))</f>
        <v/>
      </c>
    </row>
    <row r="22" customFormat="false" ht="15" hidden="false" customHeight="false" outlineLevel="0" collapsed="false">
      <c r="A22" s="25"/>
      <c r="F22" s="27"/>
      <c r="H22" s="27"/>
      <c r="I22" s="27"/>
      <c r="J22" s="27" t="str">
        <f aca="false">IF(A22="","",IF(C22="Wise Makers",F22*MIN(IF(G22="",Parametros!$B$5,G22),Parametros!$B$4),H22))</f>
        <v/>
      </c>
      <c r="K22" s="27" t="str">
        <f aca="false">IF(A22="","",I22*IFERROR(INDEX(Parametros!$B$13:$B$15,MATCH(C22,Parametros!$A$13:$A$15,0)),0))</f>
        <v/>
      </c>
      <c r="L22" s="27" t="str">
        <f aca="false">IF(A22="","",I22*IFERROR(INDEX(Parametros!$C$13:$C$15,MATCH(C22,Parametros!$A$13:$A$15,0)),0))</f>
        <v/>
      </c>
      <c r="M22" s="27" t="str">
        <f aca="false">IF(A22="","",IF(C22="Wise Makers",F22,0))</f>
        <v/>
      </c>
    </row>
    <row r="23" customFormat="false" ht="15" hidden="false" customHeight="false" outlineLevel="0" collapsed="false">
      <c r="A23" s="25"/>
      <c r="F23" s="27"/>
      <c r="H23" s="27"/>
      <c r="I23" s="27"/>
      <c r="J23" s="27" t="str">
        <f aca="false">IF(A23="","",IF(C23="Wise Makers",F23*MIN(IF(G23="",Parametros!$B$5,G23),Parametros!$B$4),H23))</f>
        <v/>
      </c>
      <c r="K23" s="27" t="str">
        <f aca="false">IF(A23="","",I23*IFERROR(INDEX(Parametros!$B$13:$B$15,MATCH(C23,Parametros!$A$13:$A$15,0)),0))</f>
        <v/>
      </c>
      <c r="L23" s="27" t="str">
        <f aca="false">IF(A23="","",I23*IFERROR(INDEX(Parametros!$C$13:$C$15,MATCH(C23,Parametros!$A$13:$A$15,0)),0))</f>
        <v/>
      </c>
      <c r="M23" s="27" t="str">
        <f aca="false">IF(A23="","",IF(C23="Wise Makers",F23,0))</f>
        <v/>
      </c>
    </row>
    <row r="24" customFormat="false" ht="15" hidden="false" customHeight="false" outlineLevel="0" collapsed="false">
      <c r="A24" s="25"/>
      <c r="F24" s="27"/>
      <c r="H24" s="27"/>
      <c r="I24" s="27"/>
      <c r="J24" s="27" t="str">
        <f aca="false">IF(A24="","",IF(C24="Wise Makers",F24*MIN(IF(G24="",Parametros!$B$5,G24),Parametros!$B$4),H24))</f>
        <v/>
      </c>
      <c r="K24" s="27" t="str">
        <f aca="false">IF(A24="","",I24*IFERROR(INDEX(Parametros!$B$13:$B$15,MATCH(C24,Parametros!$A$13:$A$15,0)),0))</f>
        <v/>
      </c>
      <c r="L24" s="27" t="str">
        <f aca="false">IF(A24="","",I24*IFERROR(INDEX(Parametros!$C$13:$C$15,MATCH(C24,Parametros!$A$13:$A$15,0)),0))</f>
        <v/>
      </c>
      <c r="M24" s="27" t="str">
        <f aca="false">IF(A24="","",IF(C24="Wise Makers",F24,0))</f>
        <v/>
      </c>
    </row>
    <row r="25" customFormat="false" ht="15" hidden="false" customHeight="false" outlineLevel="0" collapsed="false">
      <c r="A25" s="25"/>
      <c r="F25" s="27"/>
      <c r="H25" s="27"/>
      <c r="I25" s="27"/>
      <c r="J25" s="27" t="str">
        <f aca="false">IF(A25="","",IF(C25="Wise Makers",F25*MIN(IF(G25="",Parametros!$B$5,G25),Parametros!$B$4),H25))</f>
        <v/>
      </c>
      <c r="K25" s="27" t="str">
        <f aca="false">IF(A25="","",I25*IFERROR(INDEX(Parametros!$B$13:$B$15,MATCH(C25,Parametros!$A$13:$A$15,0)),0))</f>
        <v/>
      </c>
      <c r="L25" s="27" t="str">
        <f aca="false">IF(A25="","",I25*IFERROR(INDEX(Parametros!$C$13:$C$15,MATCH(C25,Parametros!$A$13:$A$15,0)),0))</f>
        <v/>
      </c>
      <c r="M25" s="27" t="str">
        <f aca="false">IF(A25="","",IF(C25="Wise Makers",F25,0))</f>
        <v/>
      </c>
    </row>
    <row r="26" customFormat="false" ht="15" hidden="false" customHeight="false" outlineLevel="0" collapsed="false">
      <c r="A26" s="25"/>
      <c r="F26" s="27"/>
      <c r="H26" s="27"/>
      <c r="I26" s="27"/>
      <c r="J26" s="27" t="str">
        <f aca="false">IF(A26="","",IF(C26="Wise Makers",F26*MIN(IF(G26="",Parametros!$B$5,G26),Parametros!$B$4),H26))</f>
        <v/>
      </c>
      <c r="K26" s="27" t="str">
        <f aca="false">IF(A26="","",I26*IFERROR(INDEX(Parametros!$B$13:$B$15,MATCH(C26,Parametros!$A$13:$A$15,0)),0))</f>
        <v/>
      </c>
      <c r="L26" s="27" t="str">
        <f aca="false">IF(A26="","",I26*IFERROR(INDEX(Parametros!$C$13:$C$15,MATCH(C26,Parametros!$A$13:$A$15,0)),0))</f>
        <v/>
      </c>
      <c r="M26" s="27" t="str">
        <f aca="false">IF(A26="","",IF(C26="Wise Makers",F26,0))</f>
        <v/>
      </c>
    </row>
    <row r="27" customFormat="false" ht="15" hidden="false" customHeight="false" outlineLevel="0" collapsed="false">
      <c r="A27" s="25"/>
      <c r="F27" s="27"/>
      <c r="H27" s="27"/>
      <c r="I27" s="27"/>
      <c r="J27" s="27" t="str">
        <f aca="false">IF(A27="","",IF(C27="Wise Makers",F27*MIN(IF(G27="",Parametros!$B$5,G27),Parametros!$B$4),H27))</f>
        <v/>
      </c>
      <c r="K27" s="27" t="str">
        <f aca="false">IF(A27="","",I27*IFERROR(INDEX(Parametros!$B$13:$B$15,MATCH(C27,Parametros!$A$13:$A$15,0)),0))</f>
        <v/>
      </c>
      <c r="L27" s="27" t="str">
        <f aca="false">IF(A27="","",I27*IFERROR(INDEX(Parametros!$C$13:$C$15,MATCH(C27,Parametros!$A$13:$A$15,0)),0))</f>
        <v/>
      </c>
      <c r="M27" s="27" t="str">
        <f aca="false">IF(A27="","",IF(C27="Wise Makers",F27,0))</f>
        <v/>
      </c>
    </row>
    <row r="28" customFormat="false" ht="15" hidden="false" customHeight="false" outlineLevel="0" collapsed="false">
      <c r="A28" s="25"/>
      <c r="F28" s="27"/>
      <c r="H28" s="27"/>
      <c r="I28" s="27"/>
      <c r="J28" s="27" t="str">
        <f aca="false">IF(A28="","",IF(C28="Wise Makers",F28*MIN(IF(G28="",Parametros!$B$5,G28),Parametros!$B$4),H28))</f>
        <v/>
      </c>
      <c r="K28" s="27" t="str">
        <f aca="false">IF(A28="","",I28*IFERROR(INDEX(Parametros!$B$13:$B$15,MATCH(C28,Parametros!$A$13:$A$15,0)),0))</f>
        <v/>
      </c>
      <c r="L28" s="27" t="str">
        <f aca="false">IF(A28="","",I28*IFERROR(INDEX(Parametros!$C$13:$C$15,MATCH(C28,Parametros!$A$13:$A$15,0)),0))</f>
        <v/>
      </c>
      <c r="M28" s="27" t="str">
        <f aca="false">IF(A28="","",IF(C28="Wise Makers",F28,0))</f>
        <v/>
      </c>
    </row>
    <row r="29" customFormat="false" ht="15" hidden="false" customHeight="false" outlineLevel="0" collapsed="false">
      <c r="A29" s="25"/>
      <c r="F29" s="27"/>
      <c r="H29" s="27"/>
      <c r="I29" s="27"/>
      <c r="J29" s="27" t="str">
        <f aca="false">IF(A29="","",IF(C29="Wise Makers",F29*MIN(IF(G29="",Parametros!$B$5,G29),Parametros!$B$4),H29))</f>
        <v/>
      </c>
      <c r="K29" s="27" t="str">
        <f aca="false">IF(A29="","",I29*IFERROR(INDEX(Parametros!$B$13:$B$15,MATCH(C29,Parametros!$A$13:$A$15,0)),0))</f>
        <v/>
      </c>
      <c r="L29" s="27" t="str">
        <f aca="false">IF(A29="","",I29*IFERROR(INDEX(Parametros!$C$13:$C$15,MATCH(C29,Parametros!$A$13:$A$15,0)),0))</f>
        <v/>
      </c>
      <c r="M29" s="27" t="str">
        <f aca="false">IF(A29="","",IF(C29="Wise Makers",F29,0))</f>
        <v/>
      </c>
    </row>
    <row r="30" customFormat="false" ht="15" hidden="false" customHeight="false" outlineLevel="0" collapsed="false">
      <c r="A30" s="25"/>
      <c r="F30" s="27"/>
      <c r="H30" s="27"/>
      <c r="I30" s="27"/>
      <c r="J30" s="27" t="str">
        <f aca="false">IF(A30="","",IF(C30="Wise Makers",F30*MIN(IF(G30="",Parametros!$B$5,G30),Parametros!$B$4),H30))</f>
        <v/>
      </c>
      <c r="K30" s="27" t="str">
        <f aca="false">IF(A30="","",I30*IFERROR(INDEX(Parametros!$B$13:$B$15,MATCH(C30,Parametros!$A$13:$A$15,0)),0))</f>
        <v/>
      </c>
      <c r="L30" s="27" t="str">
        <f aca="false">IF(A30="","",I30*IFERROR(INDEX(Parametros!$C$13:$C$15,MATCH(C30,Parametros!$A$13:$A$15,0)),0))</f>
        <v/>
      </c>
      <c r="M30" s="27" t="str">
        <f aca="false">IF(A30="","",IF(C30="Wise Makers",F30,0))</f>
        <v/>
      </c>
    </row>
    <row r="31" customFormat="false" ht="15" hidden="false" customHeight="false" outlineLevel="0" collapsed="false">
      <c r="A31" s="25"/>
      <c r="F31" s="27"/>
      <c r="H31" s="27"/>
      <c r="I31" s="27"/>
      <c r="J31" s="27" t="str">
        <f aca="false">IF(A31="","",IF(C31="Wise Makers",F31*MIN(IF(G31="",Parametros!$B$5,G31),Parametros!$B$4),H31))</f>
        <v/>
      </c>
      <c r="K31" s="27" t="str">
        <f aca="false">IF(A31="","",I31*IFERROR(INDEX(Parametros!$B$13:$B$15,MATCH(C31,Parametros!$A$13:$A$15,0)),0))</f>
        <v/>
      </c>
      <c r="L31" s="27" t="str">
        <f aca="false">IF(A31="","",I31*IFERROR(INDEX(Parametros!$C$13:$C$15,MATCH(C31,Parametros!$A$13:$A$15,0)),0))</f>
        <v/>
      </c>
      <c r="M31" s="27" t="str">
        <f aca="false">IF(A31="","",IF(C31="Wise Makers",F31,0))</f>
        <v/>
      </c>
    </row>
    <row r="32" customFormat="false" ht="15" hidden="false" customHeight="false" outlineLevel="0" collapsed="false">
      <c r="A32" s="25"/>
      <c r="F32" s="27"/>
      <c r="H32" s="27"/>
      <c r="I32" s="27"/>
      <c r="J32" s="27" t="str">
        <f aca="false">IF(A32="","",IF(C32="Wise Makers",F32*MIN(IF(G32="",Parametros!$B$5,G32),Parametros!$B$4),H32))</f>
        <v/>
      </c>
      <c r="K32" s="27" t="str">
        <f aca="false">IF(A32="","",I32*IFERROR(INDEX(Parametros!$B$13:$B$15,MATCH(C32,Parametros!$A$13:$A$15,0)),0))</f>
        <v/>
      </c>
      <c r="L32" s="27" t="str">
        <f aca="false">IF(A32="","",I32*IFERROR(INDEX(Parametros!$C$13:$C$15,MATCH(C32,Parametros!$A$13:$A$15,0)),0))</f>
        <v/>
      </c>
      <c r="M32" s="27" t="str">
        <f aca="false">IF(A32="","",IF(C32="Wise Makers",F32,0))</f>
        <v/>
      </c>
    </row>
    <row r="33" customFormat="false" ht="15" hidden="false" customHeight="false" outlineLevel="0" collapsed="false">
      <c r="A33" s="25"/>
      <c r="F33" s="27"/>
      <c r="H33" s="27"/>
      <c r="I33" s="27"/>
      <c r="J33" s="27" t="str">
        <f aca="false">IF(A33="","",IF(C33="Wise Makers",F33*MIN(IF(G33="",Parametros!$B$5,G33),Parametros!$B$4),H33))</f>
        <v/>
      </c>
      <c r="K33" s="27" t="str">
        <f aca="false">IF(A33="","",I33*IFERROR(INDEX(Parametros!$B$13:$B$15,MATCH(C33,Parametros!$A$13:$A$15,0)),0))</f>
        <v/>
      </c>
      <c r="L33" s="27" t="str">
        <f aca="false">IF(A33="","",I33*IFERROR(INDEX(Parametros!$C$13:$C$15,MATCH(C33,Parametros!$A$13:$A$15,0)),0))</f>
        <v/>
      </c>
      <c r="M33" s="27" t="str">
        <f aca="false">IF(A33="","",IF(C33="Wise Makers",F33,0))</f>
        <v/>
      </c>
    </row>
    <row r="34" customFormat="false" ht="15" hidden="false" customHeight="false" outlineLevel="0" collapsed="false">
      <c r="A34" s="25"/>
      <c r="F34" s="27"/>
      <c r="H34" s="27"/>
      <c r="I34" s="27"/>
      <c r="J34" s="27" t="str">
        <f aca="false">IF(A34="","",IF(C34="Wise Makers",F34*MIN(IF(G34="",Parametros!$B$5,G34),Parametros!$B$4),H34))</f>
        <v/>
      </c>
      <c r="K34" s="27" t="str">
        <f aca="false">IF(A34="","",I34*IFERROR(INDEX(Parametros!$B$13:$B$15,MATCH(C34,Parametros!$A$13:$A$15,0)),0))</f>
        <v/>
      </c>
      <c r="L34" s="27" t="str">
        <f aca="false">IF(A34="","",I34*IFERROR(INDEX(Parametros!$C$13:$C$15,MATCH(C34,Parametros!$A$13:$A$15,0)),0))</f>
        <v/>
      </c>
      <c r="M34" s="27" t="str">
        <f aca="false">IF(A34="","",IF(C34="Wise Makers",F34,0))</f>
        <v/>
      </c>
    </row>
    <row r="35" customFormat="false" ht="15" hidden="false" customHeight="false" outlineLevel="0" collapsed="false">
      <c r="A35" s="25"/>
      <c r="F35" s="27"/>
      <c r="H35" s="27"/>
      <c r="I35" s="27"/>
      <c r="J35" s="27" t="str">
        <f aca="false">IF(A35="","",IF(C35="Wise Makers",F35*MIN(IF(G35="",Parametros!$B$5,G35),Parametros!$B$4),H35))</f>
        <v/>
      </c>
      <c r="K35" s="27" t="str">
        <f aca="false">IF(A35="","",I35*IFERROR(INDEX(Parametros!$B$13:$B$15,MATCH(C35,Parametros!$A$13:$A$15,0)),0))</f>
        <v/>
      </c>
      <c r="L35" s="27" t="str">
        <f aca="false">IF(A35="","",I35*IFERROR(INDEX(Parametros!$C$13:$C$15,MATCH(C35,Parametros!$A$13:$A$15,0)),0))</f>
        <v/>
      </c>
      <c r="M35" s="27" t="str">
        <f aca="false">IF(A35="","",IF(C35="Wise Makers",F35,0))</f>
        <v/>
      </c>
    </row>
    <row r="36" customFormat="false" ht="15" hidden="false" customHeight="false" outlineLevel="0" collapsed="false">
      <c r="A36" s="25"/>
      <c r="F36" s="27"/>
      <c r="H36" s="27"/>
      <c r="I36" s="27"/>
      <c r="J36" s="27" t="str">
        <f aca="false">IF(A36="","",IF(C36="Wise Makers",F36*MIN(IF(G36="",Parametros!$B$5,G36),Parametros!$B$4),H36))</f>
        <v/>
      </c>
      <c r="K36" s="27" t="str">
        <f aca="false">IF(A36="","",I36*IFERROR(INDEX(Parametros!$B$13:$B$15,MATCH(C36,Parametros!$A$13:$A$15,0)),0))</f>
        <v/>
      </c>
      <c r="L36" s="27" t="str">
        <f aca="false">IF(A36="","",I36*IFERROR(INDEX(Parametros!$C$13:$C$15,MATCH(C36,Parametros!$A$13:$A$15,0)),0))</f>
        <v/>
      </c>
      <c r="M36" s="27" t="str">
        <f aca="false">IF(A36="","",IF(C36="Wise Makers",F36,0))</f>
        <v/>
      </c>
    </row>
    <row r="37" customFormat="false" ht="15" hidden="false" customHeight="false" outlineLevel="0" collapsed="false">
      <c r="A37" s="25"/>
      <c r="F37" s="27"/>
      <c r="H37" s="27"/>
      <c r="I37" s="27"/>
      <c r="J37" s="27" t="str">
        <f aca="false">IF(A37="","",IF(C37="Wise Makers",F37*MIN(IF(G37="",Parametros!$B$5,G37),Parametros!$B$4),H37))</f>
        <v/>
      </c>
      <c r="K37" s="27" t="str">
        <f aca="false">IF(A37="","",I37*IFERROR(INDEX(Parametros!$B$13:$B$15,MATCH(C37,Parametros!$A$13:$A$15,0)),0))</f>
        <v/>
      </c>
      <c r="L37" s="27" t="str">
        <f aca="false">IF(A37="","",I37*IFERROR(INDEX(Parametros!$C$13:$C$15,MATCH(C37,Parametros!$A$13:$A$15,0)),0))</f>
        <v/>
      </c>
      <c r="M37" s="27" t="str">
        <f aca="false">IF(A37="","",IF(C37="Wise Makers",F37,0))</f>
        <v/>
      </c>
    </row>
    <row r="38" customFormat="false" ht="15" hidden="false" customHeight="false" outlineLevel="0" collapsed="false">
      <c r="A38" s="25"/>
      <c r="F38" s="27"/>
      <c r="H38" s="27"/>
      <c r="I38" s="27"/>
      <c r="J38" s="27" t="str">
        <f aca="false">IF(A38="","",IF(C38="Wise Makers",F38*MIN(IF(G38="",Parametros!$B$5,G38),Parametros!$B$4),H38))</f>
        <v/>
      </c>
      <c r="K38" s="27" t="str">
        <f aca="false">IF(A38="","",I38*IFERROR(INDEX(Parametros!$B$13:$B$15,MATCH(C38,Parametros!$A$13:$A$15,0)),0))</f>
        <v/>
      </c>
      <c r="L38" s="27" t="str">
        <f aca="false">IF(A38="","",I38*IFERROR(INDEX(Parametros!$C$13:$C$15,MATCH(C38,Parametros!$A$13:$A$15,0)),0))</f>
        <v/>
      </c>
      <c r="M38" s="27" t="str">
        <f aca="false">IF(A38="","",IF(C38="Wise Makers",F38,0))</f>
        <v/>
      </c>
    </row>
    <row r="39" customFormat="false" ht="15" hidden="false" customHeight="false" outlineLevel="0" collapsed="false">
      <c r="A39" s="25"/>
      <c r="F39" s="27"/>
      <c r="H39" s="27"/>
      <c r="I39" s="27"/>
      <c r="J39" s="27" t="str">
        <f aca="false">IF(A39="","",IF(C39="Wise Makers",F39*MIN(IF(G39="",Parametros!$B$5,G39),Parametros!$B$4),H39))</f>
        <v/>
      </c>
      <c r="K39" s="27" t="str">
        <f aca="false">IF(A39="","",I39*IFERROR(INDEX(Parametros!$B$13:$B$15,MATCH(C39,Parametros!$A$13:$A$15,0)),0))</f>
        <v/>
      </c>
      <c r="L39" s="27" t="str">
        <f aca="false">IF(A39="","",I39*IFERROR(INDEX(Parametros!$C$13:$C$15,MATCH(C39,Parametros!$A$13:$A$15,0)),0))</f>
        <v/>
      </c>
      <c r="M39" s="27" t="str">
        <f aca="false">IF(A39="","",IF(C39="Wise Makers",F39,0))</f>
        <v/>
      </c>
    </row>
    <row r="40" customFormat="false" ht="15" hidden="false" customHeight="false" outlineLevel="0" collapsed="false">
      <c r="A40" s="25"/>
      <c r="F40" s="27"/>
      <c r="H40" s="27"/>
      <c r="I40" s="27"/>
      <c r="J40" s="27" t="str">
        <f aca="false">IF(A40="","",IF(C40="Wise Makers",F40*MIN(IF(G40="",Parametros!$B$5,G40),Parametros!$B$4),H40))</f>
        <v/>
      </c>
      <c r="K40" s="27" t="str">
        <f aca="false">IF(A40="","",I40*IFERROR(INDEX(Parametros!$B$13:$B$15,MATCH(C40,Parametros!$A$13:$A$15,0)),0))</f>
        <v/>
      </c>
      <c r="L40" s="27" t="str">
        <f aca="false">IF(A40="","",I40*IFERROR(INDEX(Parametros!$C$13:$C$15,MATCH(C40,Parametros!$A$13:$A$15,0)),0))</f>
        <v/>
      </c>
      <c r="M40" s="27" t="str">
        <f aca="false">IF(A40="","",IF(C40="Wise Makers",F40,0))</f>
        <v/>
      </c>
    </row>
    <row r="41" customFormat="false" ht="15" hidden="false" customHeight="false" outlineLevel="0" collapsed="false">
      <c r="A41" s="25"/>
      <c r="F41" s="27"/>
      <c r="H41" s="27"/>
      <c r="I41" s="27"/>
      <c r="J41" s="27" t="str">
        <f aca="false">IF(A41="","",IF(C41="Wise Makers",F41*MIN(IF(G41="",Parametros!$B$5,G41),Parametros!$B$4),H41))</f>
        <v/>
      </c>
      <c r="K41" s="27" t="str">
        <f aca="false">IF(A41="","",I41*IFERROR(INDEX(Parametros!$B$13:$B$15,MATCH(C41,Parametros!$A$13:$A$15,0)),0))</f>
        <v/>
      </c>
      <c r="L41" s="27" t="str">
        <f aca="false">IF(A41="","",I41*IFERROR(INDEX(Parametros!$C$13:$C$15,MATCH(C41,Parametros!$A$13:$A$15,0)),0))</f>
        <v/>
      </c>
      <c r="M41" s="27" t="str">
        <f aca="false">IF(A41="","",IF(C41="Wise Makers",F41,0))</f>
        <v/>
      </c>
    </row>
    <row r="42" customFormat="false" ht="15" hidden="false" customHeight="false" outlineLevel="0" collapsed="false">
      <c r="A42" s="25"/>
      <c r="F42" s="27"/>
      <c r="H42" s="27"/>
      <c r="I42" s="27"/>
      <c r="J42" s="27" t="str">
        <f aca="false">IF(A42="","",IF(C42="Wise Makers",F42*MIN(IF(G42="",Parametros!$B$5,G42),Parametros!$B$4),H42))</f>
        <v/>
      </c>
      <c r="K42" s="27" t="str">
        <f aca="false">IF(A42="","",I42*IFERROR(INDEX(Parametros!$B$13:$B$15,MATCH(C42,Parametros!$A$13:$A$15,0)),0))</f>
        <v/>
      </c>
      <c r="L42" s="27" t="str">
        <f aca="false">IF(A42="","",I42*IFERROR(INDEX(Parametros!$C$13:$C$15,MATCH(C42,Parametros!$A$13:$A$15,0)),0))</f>
        <v/>
      </c>
      <c r="M42" s="27" t="str">
        <f aca="false">IF(A42="","",IF(C42="Wise Makers",F42,0))</f>
        <v/>
      </c>
    </row>
    <row r="43" customFormat="false" ht="15" hidden="false" customHeight="false" outlineLevel="0" collapsed="false">
      <c r="A43" s="25"/>
      <c r="F43" s="27"/>
      <c r="H43" s="27"/>
      <c r="I43" s="27"/>
      <c r="J43" s="27" t="str">
        <f aca="false">IF(A43="","",IF(C43="Wise Makers",F43*MIN(IF(G43="",Parametros!$B$5,G43),Parametros!$B$4),H43))</f>
        <v/>
      </c>
      <c r="K43" s="27" t="str">
        <f aca="false">IF(A43="","",I43*IFERROR(INDEX(Parametros!$B$13:$B$15,MATCH(C43,Parametros!$A$13:$A$15,0)),0))</f>
        <v/>
      </c>
      <c r="L43" s="27" t="str">
        <f aca="false">IF(A43="","",I43*IFERROR(INDEX(Parametros!$C$13:$C$15,MATCH(C43,Parametros!$A$13:$A$15,0)),0))</f>
        <v/>
      </c>
      <c r="M43" s="27" t="str">
        <f aca="false">IF(A43="","",IF(C43="Wise Makers",F43,0))</f>
        <v/>
      </c>
    </row>
    <row r="44" customFormat="false" ht="15" hidden="false" customHeight="false" outlineLevel="0" collapsed="false">
      <c r="A44" s="25"/>
      <c r="F44" s="27"/>
      <c r="H44" s="27"/>
      <c r="I44" s="27"/>
      <c r="J44" s="27" t="str">
        <f aca="false">IF(A44="","",IF(C44="Wise Makers",F44*MIN(IF(G44="",Parametros!$B$5,G44),Parametros!$B$4),H44))</f>
        <v/>
      </c>
      <c r="K44" s="27" t="str">
        <f aca="false">IF(A44="","",I44*IFERROR(INDEX(Parametros!$B$13:$B$15,MATCH(C44,Parametros!$A$13:$A$15,0)),0))</f>
        <v/>
      </c>
      <c r="L44" s="27" t="str">
        <f aca="false">IF(A44="","",I44*IFERROR(INDEX(Parametros!$C$13:$C$15,MATCH(C44,Parametros!$A$13:$A$15,0)),0))</f>
        <v/>
      </c>
      <c r="M44" s="27" t="str">
        <f aca="false">IF(A44="","",IF(C44="Wise Makers",F44,0))</f>
        <v/>
      </c>
    </row>
    <row r="45" customFormat="false" ht="15" hidden="false" customHeight="false" outlineLevel="0" collapsed="false">
      <c r="A45" s="25"/>
      <c r="F45" s="27"/>
      <c r="H45" s="27"/>
      <c r="I45" s="27"/>
      <c r="J45" s="27" t="str">
        <f aca="false">IF(A45="","",IF(C45="Wise Makers",F45*MIN(IF(G45="",Parametros!$B$5,G45),Parametros!$B$4),H45))</f>
        <v/>
      </c>
      <c r="K45" s="27" t="str">
        <f aca="false">IF(A45="","",I45*IFERROR(INDEX(Parametros!$B$13:$B$15,MATCH(C45,Parametros!$A$13:$A$15,0)),0))</f>
        <v/>
      </c>
      <c r="L45" s="27" t="str">
        <f aca="false">IF(A45="","",I45*IFERROR(INDEX(Parametros!$C$13:$C$15,MATCH(C45,Parametros!$A$13:$A$15,0)),0))</f>
        <v/>
      </c>
      <c r="M45" s="27" t="str">
        <f aca="false">IF(A45="","",IF(C45="Wise Makers",F45,0))</f>
        <v/>
      </c>
    </row>
    <row r="46" customFormat="false" ht="15" hidden="false" customHeight="false" outlineLevel="0" collapsed="false">
      <c r="A46" s="25"/>
      <c r="F46" s="27"/>
      <c r="H46" s="27"/>
      <c r="I46" s="27"/>
      <c r="J46" s="27" t="str">
        <f aca="false">IF(A46="","",IF(C46="Wise Makers",F46*MIN(IF(G46="",Parametros!$B$5,G46),Parametros!$B$4),H46))</f>
        <v/>
      </c>
      <c r="K46" s="27" t="str">
        <f aca="false">IF(A46="","",I46*IFERROR(INDEX(Parametros!$B$13:$B$15,MATCH(C46,Parametros!$A$13:$A$15,0)),0))</f>
        <v/>
      </c>
      <c r="L46" s="27" t="str">
        <f aca="false">IF(A46="","",I46*IFERROR(INDEX(Parametros!$C$13:$C$15,MATCH(C46,Parametros!$A$13:$A$15,0)),0))</f>
        <v/>
      </c>
      <c r="M46" s="27" t="str">
        <f aca="false">IF(A46="","",IF(C46="Wise Makers",F46,0))</f>
        <v/>
      </c>
    </row>
    <row r="47" customFormat="false" ht="15" hidden="false" customHeight="false" outlineLevel="0" collapsed="false">
      <c r="A47" s="25"/>
      <c r="F47" s="27"/>
      <c r="H47" s="27"/>
      <c r="I47" s="27"/>
      <c r="J47" s="27" t="str">
        <f aca="false">IF(A47="","",IF(C47="Wise Makers",F47*MIN(IF(G47="",Parametros!$B$5,G47),Parametros!$B$4),H47))</f>
        <v/>
      </c>
      <c r="K47" s="27" t="str">
        <f aca="false">IF(A47="","",I47*IFERROR(INDEX(Parametros!$B$13:$B$15,MATCH(C47,Parametros!$A$13:$A$15,0)),0))</f>
        <v/>
      </c>
      <c r="L47" s="27" t="str">
        <f aca="false">IF(A47="","",I47*IFERROR(INDEX(Parametros!$C$13:$C$15,MATCH(C47,Parametros!$A$13:$A$15,0)),0))</f>
        <v/>
      </c>
      <c r="M47" s="27" t="str">
        <f aca="false">IF(A47="","",IF(C47="Wise Makers",F47,0))</f>
        <v/>
      </c>
    </row>
    <row r="48" customFormat="false" ht="15" hidden="false" customHeight="false" outlineLevel="0" collapsed="false">
      <c r="A48" s="25"/>
      <c r="F48" s="27"/>
      <c r="H48" s="27"/>
      <c r="I48" s="27"/>
      <c r="J48" s="27" t="str">
        <f aca="false">IF(A48="","",IF(C48="Wise Makers",F48*MIN(IF(G48="",Parametros!$B$5,G48),Parametros!$B$4),H48))</f>
        <v/>
      </c>
      <c r="K48" s="27" t="str">
        <f aca="false">IF(A48="","",I48*IFERROR(INDEX(Parametros!$B$13:$B$15,MATCH(C48,Parametros!$A$13:$A$15,0)),0))</f>
        <v/>
      </c>
      <c r="L48" s="27" t="str">
        <f aca="false">IF(A48="","",I48*IFERROR(INDEX(Parametros!$C$13:$C$15,MATCH(C48,Parametros!$A$13:$A$15,0)),0))</f>
        <v/>
      </c>
      <c r="M48" s="27" t="str">
        <f aca="false">IF(A48="","",IF(C48="Wise Makers",F48,0))</f>
        <v/>
      </c>
    </row>
    <row r="49" customFormat="false" ht="15" hidden="false" customHeight="false" outlineLevel="0" collapsed="false">
      <c r="A49" s="25"/>
      <c r="F49" s="27"/>
      <c r="H49" s="27"/>
      <c r="I49" s="27"/>
      <c r="J49" s="27" t="str">
        <f aca="false">IF(A49="","",IF(C49="Wise Makers",F49*MIN(IF(G49="",Parametros!$B$5,G49),Parametros!$B$4),H49))</f>
        <v/>
      </c>
      <c r="K49" s="27" t="str">
        <f aca="false">IF(A49="","",I49*IFERROR(INDEX(Parametros!$B$13:$B$15,MATCH(C49,Parametros!$A$13:$A$15,0)),0))</f>
        <v/>
      </c>
      <c r="L49" s="27" t="str">
        <f aca="false">IF(A49="","",I49*IFERROR(INDEX(Parametros!$C$13:$C$15,MATCH(C49,Parametros!$A$13:$A$15,0)),0))</f>
        <v/>
      </c>
      <c r="M49" s="27" t="str">
        <f aca="false">IF(A49="","",IF(C49="Wise Makers",F49,0))</f>
        <v/>
      </c>
    </row>
    <row r="50" customFormat="false" ht="15" hidden="false" customHeight="false" outlineLevel="0" collapsed="false">
      <c r="A50" s="25"/>
      <c r="F50" s="27"/>
      <c r="H50" s="27"/>
      <c r="I50" s="27"/>
      <c r="J50" s="27" t="str">
        <f aca="false">IF(A50="","",IF(C50="Wise Makers",F50*MIN(IF(G50="",Parametros!$B$5,G50),Parametros!$B$4),H50))</f>
        <v/>
      </c>
      <c r="K50" s="27" t="str">
        <f aca="false">IF(A50="","",I50*IFERROR(INDEX(Parametros!$B$13:$B$15,MATCH(C50,Parametros!$A$13:$A$15,0)),0))</f>
        <v/>
      </c>
      <c r="L50" s="27" t="str">
        <f aca="false">IF(A50="","",I50*IFERROR(INDEX(Parametros!$C$13:$C$15,MATCH(C50,Parametros!$A$13:$A$15,0)),0))</f>
        <v/>
      </c>
      <c r="M50" s="27" t="str">
        <f aca="false">IF(A50="","",IF(C50="Wise Makers",F50,0))</f>
        <v/>
      </c>
    </row>
    <row r="51" customFormat="false" ht="15" hidden="false" customHeight="false" outlineLevel="0" collapsed="false">
      <c r="A51" s="25"/>
      <c r="F51" s="27"/>
      <c r="H51" s="27"/>
      <c r="I51" s="27"/>
      <c r="J51" s="27" t="str">
        <f aca="false">IF(A51="","",IF(C51="Wise Makers",F51*MIN(IF(G51="",Parametros!$B$5,G51),Parametros!$B$4),H51))</f>
        <v/>
      </c>
      <c r="K51" s="27" t="str">
        <f aca="false">IF(A51="","",I51*IFERROR(INDEX(Parametros!$B$13:$B$15,MATCH(C51,Parametros!$A$13:$A$15,0)),0))</f>
        <v/>
      </c>
      <c r="L51" s="27" t="str">
        <f aca="false">IF(A51="","",I51*IFERROR(INDEX(Parametros!$C$13:$C$15,MATCH(C51,Parametros!$A$13:$A$15,0)),0))</f>
        <v/>
      </c>
      <c r="M51" s="27" t="str">
        <f aca="false">IF(A51="","",IF(C51="Wise Makers",F51,0))</f>
        <v/>
      </c>
    </row>
    <row r="52" customFormat="false" ht="15" hidden="false" customHeight="false" outlineLevel="0" collapsed="false">
      <c r="A52" s="25"/>
      <c r="F52" s="27"/>
      <c r="H52" s="27"/>
      <c r="I52" s="27"/>
      <c r="J52" s="27" t="str">
        <f aca="false">IF(A52="","",IF(C52="Wise Makers",F52*MIN(IF(G52="",Parametros!$B$5,G52),Parametros!$B$4),H52))</f>
        <v/>
      </c>
      <c r="K52" s="27" t="str">
        <f aca="false">IF(A52="","",I52*IFERROR(INDEX(Parametros!$B$13:$B$15,MATCH(C52,Parametros!$A$13:$A$15,0)),0))</f>
        <v/>
      </c>
      <c r="L52" s="27" t="str">
        <f aca="false">IF(A52="","",I52*IFERROR(INDEX(Parametros!$C$13:$C$15,MATCH(C52,Parametros!$A$13:$A$15,0)),0))</f>
        <v/>
      </c>
      <c r="M52" s="27" t="str">
        <f aca="false">IF(A52="","",IF(C52="Wise Makers",F52,0))</f>
        <v/>
      </c>
    </row>
    <row r="53" customFormat="false" ht="15" hidden="false" customHeight="false" outlineLevel="0" collapsed="false">
      <c r="A53" s="25"/>
      <c r="F53" s="27"/>
      <c r="H53" s="27"/>
      <c r="I53" s="27"/>
      <c r="J53" s="27" t="str">
        <f aca="false">IF(A53="","",IF(C53="Wise Makers",F53*MIN(IF(G53="",Parametros!$B$5,G53),Parametros!$B$4),H53))</f>
        <v/>
      </c>
      <c r="K53" s="27" t="str">
        <f aca="false">IF(A53="","",I53*IFERROR(INDEX(Parametros!$B$13:$B$15,MATCH(C53,Parametros!$A$13:$A$15,0)),0))</f>
        <v/>
      </c>
      <c r="L53" s="27" t="str">
        <f aca="false">IF(A53="","",I53*IFERROR(INDEX(Parametros!$C$13:$C$15,MATCH(C53,Parametros!$A$13:$A$15,0)),0))</f>
        <v/>
      </c>
      <c r="M53" s="27" t="str">
        <f aca="false">IF(A53="","",IF(C53="Wise Makers",F53,0))</f>
        <v/>
      </c>
    </row>
    <row r="54" customFormat="false" ht="15" hidden="false" customHeight="false" outlineLevel="0" collapsed="false">
      <c r="A54" s="25"/>
      <c r="F54" s="27"/>
      <c r="H54" s="27"/>
      <c r="I54" s="27"/>
      <c r="J54" s="27" t="str">
        <f aca="false">IF(A54="","",IF(C54="Wise Makers",F54*MIN(IF(G54="",Parametros!$B$5,G54),Parametros!$B$4),H54))</f>
        <v/>
      </c>
      <c r="K54" s="27" t="str">
        <f aca="false">IF(A54="","",I54*IFERROR(INDEX(Parametros!$B$13:$B$15,MATCH(C54,Parametros!$A$13:$A$15,0)),0))</f>
        <v/>
      </c>
      <c r="L54" s="27" t="str">
        <f aca="false">IF(A54="","",I54*IFERROR(INDEX(Parametros!$C$13:$C$15,MATCH(C54,Parametros!$A$13:$A$15,0)),0))</f>
        <v/>
      </c>
      <c r="M54" s="27" t="str">
        <f aca="false">IF(A54="","",IF(C54="Wise Makers",F54,0))</f>
        <v/>
      </c>
    </row>
    <row r="55" customFormat="false" ht="15" hidden="false" customHeight="false" outlineLevel="0" collapsed="false">
      <c r="A55" s="25"/>
      <c r="F55" s="27"/>
      <c r="H55" s="27"/>
      <c r="I55" s="27"/>
      <c r="J55" s="27" t="str">
        <f aca="false">IF(A55="","",IF(C55="Wise Makers",F55*MIN(IF(G55="",Parametros!$B$5,G55),Parametros!$B$4),H55))</f>
        <v/>
      </c>
      <c r="K55" s="27" t="str">
        <f aca="false">IF(A55="","",I55*IFERROR(INDEX(Parametros!$B$13:$B$15,MATCH(C55,Parametros!$A$13:$A$15,0)),0))</f>
        <v/>
      </c>
      <c r="L55" s="27" t="str">
        <f aca="false">IF(A55="","",I55*IFERROR(INDEX(Parametros!$C$13:$C$15,MATCH(C55,Parametros!$A$13:$A$15,0)),0))</f>
        <v/>
      </c>
      <c r="M55" s="27" t="str">
        <f aca="false">IF(A55="","",IF(C55="Wise Makers",F55,0))</f>
        <v/>
      </c>
    </row>
    <row r="56" customFormat="false" ht="15" hidden="false" customHeight="false" outlineLevel="0" collapsed="false">
      <c r="A56" s="25"/>
      <c r="F56" s="27"/>
      <c r="H56" s="27"/>
      <c r="I56" s="27"/>
      <c r="J56" s="27" t="str">
        <f aca="false">IF(A56="","",IF(C56="Wise Makers",F56*MIN(IF(G56="",Parametros!$B$5,G56),Parametros!$B$4),H56))</f>
        <v/>
      </c>
      <c r="K56" s="27" t="str">
        <f aca="false">IF(A56="","",I56*IFERROR(INDEX(Parametros!$B$13:$B$15,MATCH(C56,Parametros!$A$13:$A$15,0)),0))</f>
        <v/>
      </c>
      <c r="L56" s="27" t="str">
        <f aca="false">IF(A56="","",I56*IFERROR(INDEX(Parametros!$C$13:$C$15,MATCH(C56,Parametros!$A$13:$A$15,0)),0))</f>
        <v/>
      </c>
      <c r="M56" s="27" t="str">
        <f aca="false">IF(A56="","",IF(C56="Wise Makers",F56,0))</f>
        <v/>
      </c>
    </row>
    <row r="57" customFormat="false" ht="15" hidden="false" customHeight="false" outlineLevel="0" collapsed="false">
      <c r="A57" s="25"/>
      <c r="F57" s="27"/>
      <c r="H57" s="27"/>
      <c r="I57" s="27"/>
      <c r="J57" s="27" t="str">
        <f aca="false">IF(A57="","",IF(C57="Wise Makers",F57*MIN(IF(G57="",Parametros!$B$5,G57),Parametros!$B$4),H57))</f>
        <v/>
      </c>
      <c r="K57" s="27" t="str">
        <f aca="false">IF(A57="","",I57*IFERROR(INDEX(Parametros!$B$13:$B$15,MATCH(C57,Parametros!$A$13:$A$15,0)),0))</f>
        <v/>
      </c>
      <c r="L57" s="27" t="str">
        <f aca="false">IF(A57="","",I57*IFERROR(INDEX(Parametros!$C$13:$C$15,MATCH(C57,Parametros!$A$13:$A$15,0)),0))</f>
        <v/>
      </c>
      <c r="M57" s="27" t="str">
        <f aca="false">IF(A57="","",IF(C57="Wise Makers",F57,0))</f>
        <v/>
      </c>
    </row>
    <row r="58" customFormat="false" ht="15" hidden="false" customHeight="false" outlineLevel="0" collapsed="false">
      <c r="A58" s="25"/>
      <c r="F58" s="27"/>
      <c r="H58" s="27"/>
      <c r="I58" s="27"/>
      <c r="J58" s="27" t="str">
        <f aca="false">IF(A58="","",IF(C58="Wise Makers",F58*MIN(IF(G58="",Parametros!$B$5,G58),Parametros!$B$4),H58))</f>
        <v/>
      </c>
      <c r="K58" s="27" t="str">
        <f aca="false">IF(A58="","",I58*IFERROR(INDEX(Parametros!$B$13:$B$15,MATCH(C58,Parametros!$A$13:$A$15,0)),0))</f>
        <v/>
      </c>
      <c r="L58" s="27" t="str">
        <f aca="false">IF(A58="","",I58*IFERROR(INDEX(Parametros!$C$13:$C$15,MATCH(C58,Parametros!$A$13:$A$15,0)),0))</f>
        <v/>
      </c>
      <c r="M58" s="27" t="str">
        <f aca="false">IF(A58="","",IF(C58="Wise Makers",F58,0))</f>
        <v/>
      </c>
    </row>
    <row r="59" customFormat="false" ht="15" hidden="false" customHeight="false" outlineLevel="0" collapsed="false">
      <c r="A59" s="25"/>
      <c r="F59" s="27"/>
      <c r="H59" s="27"/>
      <c r="I59" s="27"/>
      <c r="J59" s="27" t="str">
        <f aca="false">IF(A59="","",IF(C59="Wise Makers",F59*MIN(IF(G59="",Parametros!$B$5,G59),Parametros!$B$4),H59))</f>
        <v/>
      </c>
      <c r="K59" s="27" t="str">
        <f aca="false">IF(A59="","",I59*IFERROR(INDEX(Parametros!$B$13:$B$15,MATCH(C59,Parametros!$A$13:$A$15,0)),0))</f>
        <v/>
      </c>
      <c r="L59" s="27" t="str">
        <f aca="false">IF(A59="","",I59*IFERROR(INDEX(Parametros!$C$13:$C$15,MATCH(C59,Parametros!$A$13:$A$15,0)),0))</f>
        <v/>
      </c>
      <c r="M59" s="27" t="str">
        <f aca="false">IF(A59="","",IF(C59="Wise Makers",F59,0))</f>
        <v/>
      </c>
    </row>
    <row r="60" customFormat="false" ht="15" hidden="false" customHeight="false" outlineLevel="0" collapsed="false">
      <c r="A60" s="25"/>
      <c r="F60" s="27"/>
      <c r="H60" s="27"/>
      <c r="I60" s="27"/>
      <c r="J60" s="27" t="str">
        <f aca="false">IF(A60="","",IF(C60="Wise Makers",F60*MIN(IF(G60="",Parametros!$B$5,G60),Parametros!$B$4),H60))</f>
        <v/>
      </c>
      <c r="K60" s="27" t="str">
        <f aca="false">IF(A60="","",I60*IFERROR(INDEX(Parametros!$B$13:$B$15,MATCH(C60,Parametros!$A$13:$A$15,0)),0))</f>
        <v/>
      </c>
      <c r="L60" s="27" t="str">
        <f aca="false">IF(A60="","",I60*IFERROR(INDEX(Parametros!$C$13:$C$15,MATCH(C60,Parametros!$A$13:$A$15,0)),0))</f>
        <v/>
      </c>
      <c r="M60" s="27" t="str">
        <f aca="false">IF(A60="","",IF(C60="Wise Makers",F60,0))</f>
        <v/>
      </c>
    </row>
    <row r="61" customFormat="false" ht="15" hidden="false" customHeight="false" outlineLevel="0" collapsed="false">
      <c r="A61" s="25"/>
      <c r="F61" s="27"/>
      <c r="H61" s="27"/>
      <c r="I61" s="27"/>
      <c r="J61" s="27" t="str">
        <f aca="false">IF(A61="","",IF(C61="Wise Makers",F61*MIN(IF(G61="",Parametros!$B$5,G61),Parametros!$B$4),H61))</f>
        <v/>
      </c>
      <c r="K61" s="27" t="str">
        <f aca="false">IF(A61="","",I61*IFERROR(INDEX(Parametros!$B$13:$B$15,MATCH(C61,Parametros!$A$13:$A$15,0)),0))</f>
        <v/>
      </c>
      <c r="L61" s="27" t="str">
        <f aca="false">IF(A61="","",I61*IFERROR(INDEX(Parametros!$C$13:$C$15,MATCH(C61,Parametros!$A$13:$A$15,0)),0))</f>
        <v/>
      </c>
      <c r="M61" s="27" t="str">
        <f aca="false">IF(A61="","",IF(C61="Wise Makers",F61,0))</f>
        <v/>
      </c>
    </row>
    <row r="62" customFormat="false" ht="15" hidden="false" customHeight="false" outlineLevel="0" collapsed="false">
      <c r="A62" s="25"/>
      <c r="F62" s="27"/>
      <c r="H62" s="27"/>
      <c r="I62" s="27"/>
      <c r="J62" s="27" t="str">
        <f aca="false">IF(A62="","",IF(C62="Wise Makers",F62*MIN(IF(G62="",Parametros!$B$5,G62),Parametros!$B$4),H62))</f>
        <v/>
      </c>
      <c r="K62" s="27" t="str">
        <f aca="false">IF(A62="","",I62*IFERROR(INDEX(Parametros!$B$13:$B$15,MATCH(C62,Parametros!$A$13:$A$15,0)),0))</f>
        <v/>
      </c>
      <c r="L62" s="27" t="str">
        <f aca="false">IF(A62="","",I62*IFERROR(INDEX(Parametros!$C$13:$C$15,MATCH(C62,Parametros!$A$13:$A$15,0)),0))</f>
        <v/>
      </c>
      <c r="M62" s="27" t="str">
        <f aca="false">IF(A62="","",IF(C62="Wise Makers",F62,0))</f>
        <v/>
      </c>
    </row>
    <row r="63" customFormat="false" ht="15" hidden="false" customHeight="false" outlineLevel="0" collapsed="false">
      <c r="A63" s="25"/>
      <c r="F63" s="27"/>
      <c r="H63" s="27"/>
      <c r="I63" s="27"/>
      <c r="J63" s="27" t="str">
        <f aca="false">IF(A63="","",IF(C63="Wise Makers",F63*MIN(IF(G63="",Parametros!$B$5,G63),Parametros!$B$4),H63))</f>
        <v/>
      </c>
      <c r="K63" s="27" t="str">
        <f aca="false">IF(A63="","",I63*IFERROR(INDEX(Parametros!$B$13:$B$15,MATCH(C63,Parametros!$A$13:$A$15,0)),0))</f>
        <v/>
      </c>
      <c r="L63" s="27" t="str">
        <f aca="false">IF(A63="","",I63*IFERROR(INDEX(Parametros!$C$13:$C$15,MATCH(C63,Parametros!$A$13:$A$15,0)),0))</f>
        <v/>
      </c>
      <c r="M63" s="27" t="str">
        <f aca="false">IF(A63="","",IF(C63="Wise Makers",F63,0))</f>
        <v/>
      </c>
    </row>
    <row r="64" customFormat="false" ht="15" hidden="false" customHeight="false" outlineLevel="0" collapsed="false">
      <c r="A64" s="25"/>
      <c r="F64" s="27"/>
      <c r="H64" s="27"/>
      <c r="I64" s="27"/>
      <c r="J64" s="27" t="str">
        <f aca="false">IF(A64="","",IF(C64="Wise Makers",F64*MIN(IF(G64="",Parametros!$B$5,G64),Parametros!$B$4),H64))</f>
        <v/>
      </c>
      <c r="K64" s="27" t="str">
        <f aca="false">IF(A64="","",I64*IFERROR(INDEX(Parametros!$B$13:$B$15,MATCH(C64,Parametros!$A$13:$A$15,0)),0))</f>
        <v/>
      </c>
      <c r="L64" s="27" t="str">
        <f aca="false">IF(A64="","",I64*IFERROR(INDEX(Parametros!$C$13:$C$15,MATCH(C64,Parametros!$A$13:$A$15,0)),0))</f>
        <v/>
      </c>
      <c r="M64" s="27" t="str">
        <f aca="false">IF(A64="","",IF(C64="Wise Makers",F64,0))</f>
        <v/>
      </c>
    </row>
    <row r="65" customFormat="false" ht="15" hidden="false" customHeight="false" outlineLevel="0" collapsed="false">
      <c r="A65" s="25"/>
      <c r="F65" s="27"/>
      <c r="H65" s="27"/>
      <c r="I65" s="27"/>
      <c r="J65" s="27" t="str">
        <f aca="false">IF(A65="","",IF(C65="Wise Makers",F65*MIN(IF(G65="",Parametros!$B$5,G65),Parametros!$B$4),H65))</f>
        <v/>
      </c>
      <c r="K65" s="27" t="str">
        <f aca="false">IF(A65="","",I65*IFERROR(INDEX(Parametros!$B$13:$B$15,MATCH(C65,Parametros!$A$13:$A$15,0)),0))</f>
        <v/>
      </c>
      <c r="L65" s="27" t="str">
        <f aca="false">IF(A65="","",I65*IFERROR(INDEX(Parametros!$C$13:$C$15,MATCH(C65,Parametros!$A$13:$A$15,0)),0))</f>
        <v/>
      </c>
      <c r="M65" s="27" t="str">
        <f aca="false">IF(A65="","",IF(C65="Wise Makers",F65,0))</f>
        <v/>
      </c>
    </row>
    <row r="66" customFormat="false" ht="15" hidden="false" customHeight="false" outlineLevel="0" collapsed="false">
      <c r="A66" s="25"/>
      <c r="F66" s="27"/>
      <c r="H66" s="27"/>
      <c r="I66" s="27"/>
      <c r="J66" s="27" t="str">
        <f aca="false">IF(A66="","",IF(C66="Wise Makers",F66*MIN(IF(G66="",Parametros!$B$5,G66),Parametros!$B$4),H66))</f>
        <v/>
      </c>
      <c r="K66" s="27" t="str">
        <f aca="false">IF(A66="","",I66*IFERROR(INDEX(Parametros!$B$13:$B$15,MATCH(C66,Parametros!$A$13:$A$15,0)),0))</f>
        <v/>
      </c>
      <c r="L66" s="27" t="str">
        <f aca="false">IF(A66="","",I66*IFERROR(INDEX(Parametros!$C$13:$C$15,MATCH(C66,Parametros!$A$13:$A$15,0)),0))</f>
        <v/>
      </c>
      <c r="M66" s="27" t="str">
        <f aca="false">IF(A66="","",IF(C66="Wise Makers",F66,0))</f>
        <v/>
      </c>
    </row>
    <row r="67" customFormat="false" ht="15" hidden="false" customHeight="false" outlineLevel="0" collapsed="false">
      <c r="A67" s="25"/>
      <c r="F67" s="27"/>
      <c r="H67" s="27"/>
      <c r="I67" s="27"/>
      <c r="J67" s="27" t="str">
        <f aca="false">IF(A67="","",IF(C67="Wise Makers",F67*MIN(IF(G67="",Parametros!$B$5,G67),Parametros!$B$4),H67))</f>
        <v/>
      </c>
      <c r="K67" s="27" t="str">
        <f aca="false">IF(A67="","",I67*IFERROR(INDEX(Parametros!$B$13:$B$15,MATCH(C67,Parametros!$A$13:$A$15,0)),0))</f>
        <v/>
      </c>
      <c r="L67" s="27" t="str">
        <f aca="false">IF(A67="","",I67*IFERROR(INDEX(Parametros!$C$13:$C$15,MATCH(C67,Parametros!$A$13:$A$15,0)),0))</f>
        <v/>
      </c>
      <c r="M67" s="27" t="str">
        <f aca="false">IF(A67="","",IF(C67="Wise Makers",F67,0))</f>
        <v/>
      </c>
    </row>
    <row r="68" customFormat="false" ht="15" hidden="false" customHeight="false" outlineLevel="0" collapsed="false">
      <c r="A68" s="25"/>
      <c r="F68" s="27"/>
      <c r="H68" s="27"/>
      <c r="I68" s="27"/>
      <c r="J68" s="27" t="str">
        <f aca="false">IF(A68="","",IF(C68="Wise Makers",F68*MIN(IF(G68="",Parametros!$B$5,G68),Parametros!$B$4),H68))</f>
        <v/>
      </c>
      <c r="K68" s="27" t="str">
        <f aca="false">IF(A68="","",I68*IFERROR(INDEX(Parametros!$B$13:$B$15,MATCH(C68,Parametros!$A$13:$A$15,0)),0))</f>
        <v/>
      </c>
      <c r="L68" s="27" t="str">
        <f aca="false">IF(A68="","",I68*IFERROR(INDEX(Parametros!$C$13:$C$15,MATCH(C68,Parametros!$A$13:$A$15,0)),0))</f>
        <v/>
      </c>
      <c r="M68" s="27" t="str">
        <f aca="false">IF(A68="","",IF(C68="Wise Makers",F68,0))</f>
        <v/>
      </c>
    </row>
    <row r="69" customFormat="false" ht="15" hidden="false" customHeight="false" outlineLevel="0" collapsed="false">
      <c r="A69" s="25"/>
      <c r="F69" s="27"/>
      <c r="H69" s="27"/>
      <c r="I69" s="27"/>
      <c r="J69" s="27" t="str">
        <f aca="false">IF(A69="","",IF(C69="Wise Makers",F69*MIN(IF(G69="",Parametros!$B$5,G69),Parametros!$B$4),H69))</f>
        <v/>
      </c>
      <c r="K69" s="27" t="str">
        <f aca="false">IF(A69="","",I69*IFERROR(INDEX(Parametros!$B$13:$B$15,MATCH(C69,Parametros!$A$13:$A$15,0)),0))</f>
        <v/>
      </c>
      <c r="L69" s="27" t="str">
        <f aca="false">IF(A69="","",I69*IFERROR(INDEX(Parametros!$C$13:$C$15,MATCH(C69,Parametros!$A$13:$A$15,0)),0))</f>
        <v/>
      </c>
      <c r="M69" s="27" t="str">
        <f aca="false">IF(A69="","",IF(C69="Wise Makers",F69,0))</f>
        <v/>
      </c>
    </row>
    <row r="70" customFormat="false" ht="15" hidden="false" customHeight="false" outlineLevel="0" collapsed="false">
      <c r="A70" s="25"/>
      <c r="F70" s="27"/>
      <c r="H70" s="27"/>
      <c r="I70" s="27"/>
      <c r="J70" s="27" t="str">
        <f aca="false">IF(A70="","",IF(C70="Wise Makers",F70*MIN(IF(G70="",Parametros!$B$5,G70),Parametros!$B$4),H70))</f>
        <v/>
      </c>
      <c r="K70" s="27" t="str">
        <f aca="false">IF(A70="","",I70*IFERROR(INDEX(Parametros!$B$13:$B$15,MATCH(C70,Parametros!$A$13:$A$15,0)),0))</f>
        <v/>
      </c>
      <c r="L70" s="27" t="str">
        <f aca="false">IF(A70="","",I70*IFERROR(INDEX(Parametros!$C$13:$C$15,MATCH(C70,Parametros!$A$13:$A$15,0)),0))</f>
        <v/>
      </c>
      <c r="M70" s="27" t="str">
        <f aca="false">IF(A70="","",IF(C70="Wise Makers",F70,0))</f>
        <v/>
      </c>
    </row>
    <row r="71" customFormat="false" ht="15" hidden="false" customHeight="false" outlineLevel="0" collapsed="false">
      <c r="A71" s="25"/>
      <c r="F71" s="27"/>
      <c r="H71" s="27"/>
      <c r="I71" s="27"/>
      <c r="J71" s="27" t="str">
        <f aca="false">IF(A71="","",IF(C71="Wise Makers",F71*MIN(IF(G71="",Parametros!$B$5,G71),Parametros!$B$4),H71))</f>
        <v/>
      </c>
      <c r="K71" s="27" t="str">
        <f aca="false">IF(A71="","",I71*IFERROR(INDEX(Parametros!$B$13:$B$15,MATCH(C71,Parametros!$A$13:$A$15,0)),0))</f>
        <v/>
      </c>
      <c r="L71" s="27" t="str">
        <f aca="false">IF(A71="","",I71*IFERROR(INDEX(Parametros!$C$13:$C$15,MATCH(C71,Parametros!$A$13:$A$15,0)),0))</f>
        <v/>
      </c>
      <c r="M71" s="27" t="str">
        <f aca="false">IF(A71="","",IF(C71="Wise Makers",F71,0))</f>
        <v/>
      </c>
    </row>
    <row r="72" customFormat="false" ht="15" hidden="false" customHeight="false" outlineLevel="0" collapsed="false">
      <c r="A72" s="25"/>
      <c r="F72" s="27"/>
      <c r="H72" s="27"/>
      <c r="I72" s="27"/>
      <c r="J72" s="27" t="str">
        <f aca="false">IF(A72="","",IF(C72="Wise Makers",F72*MIN(IF(G72="",Parametros!$B$5,G72),Parametros!$B$4),H72))</f>
        <v/>
      </c>
      <c r="K72" s="27" t="str">
        <f aca="false">IF(A72="","",I72*IFERROR(INDEX(Parametros!$B$13:$B$15,MATCH(C72,Parametros!$A$13:$A$15,0)),0))</f>
        <v/>
      </c>
      <c r="L72" s="27" t="str">
        <f aca="false">IF(A72="","",I72*IFERROR(INDEX(Parametros!$C$13:$C$15,MATCH(C72,Parametros!$A$13:$A$15,0)),0))</f>
        <v/>
      </c>
      <c r="M72" s="27" t="str">
        <f aca="false">IF(A72="","",IF(C72="Wise Makers",F72,0))</f>
        <v/>
      </c>
    </row>
    <row r="73" customFormat="false" ht="15" hidden="false" customHeight="false" outlineLevel="0" collapsed="false">
      <c r="A73" s="25"/>
      <c r="F73" s="27"/>
      <c r="H73" s="27"/>
      <c r="I73" s="27"/>
      <c r="J73" s="27" t="str">
        <f aca="false">IF(A73="","",IF(C73="Wise Makers",F73*MIN(IF(G73="",Parametros!$B$5,G73),Parametros!$B$4),H73))</f>
        <v/>
      </c>
      <c r="K73" s="27" t="str">
        <f aca="false">IF(A73="","",I73*IFERROR(INDEX(Parametros!$B$13:$B$15,MATCH(C73,Parametros!$A$13:$A$15,0)),0))</f>
        <v/>
      </c>
      <c r="L73" s="27" t="str">
        <f aca="false">IF(A73="","",I73*IFERROR(INDEX(Parametros!$C$13:$C$15,MATCH(C73,Parametros!$A$13:$A$15,0)),0))</f>
        <v/>
      </c>
      <c r="M73" s="27" t="str">
        <f aca="false">IF(A73="","",IF(C73="Wise Makers",F73,0))</f>
        <v/>
      </c>
    </row>
    <row r="74" customFormat="false" ht="15" hidden="false" customHeight="false" outlineLevel="0" collapsed="false">
      <c r="A74" s="25"/>
      <c r="F74" s="27"/>
      <c r="H74" s="27"/>
      <c r="I74" s="27"/>
      <c r="J74" s="27" t="str">
        <f aca="false">IF(A74="","",IF(C74="Wise Makers",F74*MIN(IF(G74="",Parametros!$B$5,G74),Parametros!$B$4),H74))</f>
        <v/>
      </c>
      <c r="K74" s="27" t="str">
        <f aca="false">IF(A74="","",I74*IFERROR(INDEX(Parametros!$B$13:$B$15,MATCH(C74,Parametros!$A$13:$A$15,0)),0))</f>
        <v/>
      </c>
      <c r="L74" s="27" t="str">
        <f aca="false">IF(A74="","",I74*IFERROR(INDEX(Parametros!$C$13:$C$15,MATCH(C74,Parametros!$A$13:$A$15,0)),0))</f>
        <v/>
      </c>
      <c r="M74" s="27" t="str">
        <f aca="false">IF(A74="","",IF(C74="Wise Makers",F74,0))</f>
        <v/>
      </c>
    </row>
    <row r="75" customFormat="false" ht="15" hidden="false" customHeight="false" outlineLevel="0" collapsed="false">
      <c r="A75" s="25"/>
      <c r="F75" s="27"/>
      <c r="H75" s="27"/>
      <c r="I75" s="27"/>
      <c r="J75" s="27" t="str">
        <f aca="false">IF(A75="","",IF(C75="Wise Makers",F75*MIN(IF(G75="",Parametros!$B$5,G75),Parametros!$B$4),H75))</f>
        <v/>
      </c>
      <c r="K75" s="27" t="str">
        <f aca="false">IF(A75="","",I75*IFERROR(INDEX(Parametros!$B$13:$B$15,MATCH(C75,Parametros!$A$13:$A$15,0)),0))</f>
        <v/>
      </c>
      <c r="L75" s="27" t="str">
        <f aca="false">IF(A75="","",I75*IFERROR(INDEX(Parametros!$C$13:$C$15,MATCH(C75,Parametros!$A$13:$A$15,0)),0))</f>
        <v/>
      </c>
      <c r="M75" s="27" t="str">
        <f aca="false">IF(A75="","",IF(C75="Wise Makers",F75,0))</f>
        <v/>
      </c>
    </row>
    <row r="76" customFormat="false" ht="15" hidden="false" customHeight="false" outlineLevel="0" collapsed="false">
      <c r="A76" s="25"/>
      <c r="F76" s="27"/>
      <c r="H76" s="27"/>
      <c r="I76" s="27"/>
      <c r="J76" s="27" t="str">
        <f aca="false">IF(A76="","",IF(C76="Wise Makers",F76*MIN(IF(G76="",Parametros!$B$5,G76),Parametros!$B$4),H76))</f>
        <v/>
      </c>
      <c r="K76" s="27" t="str">
        <f aca="false">IF(A76="","",I76*IFERROR(INDEX(Parametros!$B$13:$B$15,MATCH(C76,Parametros!$A$13:$A$15,0)),0))</f>
        <v/>
      </c>
      <c r="L76" s="27" t="str">
        <f aca="false">IF(A76="","",I76*IFERROR(INDEX(Parametros!$C$13:$C$15,MATCH(C76,Parametros!$A$13:$A$15,0)),0))</f>
        <v/>
      </c>
      <c r="M76" s="27" t="str">
        <f aca="false">IF(A76="","",IF(C76="Wise Makers",F76,0))</f>
        <v/>
      </c>
    </row>
    <row r="77" customFormat="false" ht="15" hidden="false" customHeight="false" outlineLevel="0" collapsed="false">
      <c r="A77" s="25"/>
      <c r="F77" s="27"/>
      <c r="H77" s="27"/>
      <c r="I77" s="27"/>
      <c r="J77" s="27" t="str">
        <f aca="false">IF(A77="","",IF(C77="Wise Makers",F77*MIN(IF(G77="",Parametros!$B$5,G77),Parametros!$B$4),H77))</f>
        <v/>
      </c>
      <c r="K77" s="27" t="str">
        <f aca="false">IF(A77="","",I77*IFERROR(INDEX(Parametros!$B$13:$B$15,MATCH(C77,Parametros!$A$13:$A$15,0)),0))</f>
        <v/>
      </c>
      <c r="L77" s="27" t="str">
        <f aca="false">IF(A77="","",I77*IFERROR(INDEX(Parametros!$C$13:$C$15,MATCH(C77,Parametros!$A$13:$A$15,0)),0))</f>
        <v/>
      </c>
      <c r="M77" s="27" t="str">
        <f aca="false">IF(A77="","",IF(C77="Wise Makers",F77,0))</f>
        <v/>
      </c>
    </row>
    <row r="78" customFormat="false" ht="15" hidden="false" customHeight="false" outlineLevel="0" collapsed="false">
      <c r="A78" s="25"/>
      <c r="F78" s="27"/>
      <c r="H78" s="27"/>
      <c r="I78" s="27"/>
      <c r="J78" s="27" t="str">
        <f aca="false">IF(A78="","",IF(C78="Wise Makers",F78*MIN(IF(G78="",Parametros!$B$5,G78),Parametros!$B$4),H78))</f>
        <v/>
      </c>
      <c r="K78" s="27" t="str">
        <f aca="false">IF(A78="","",I78*IFERROR(INDEX(Parametros!$B$13:$B$15,MATCH(C78,Parametros!$A$13:$A$15,0)),0))</f>
        <v/>
      </c>
      <c r="L78" s="27" t="str">
        <f aca="false">IF(A78="","",I78*IFERROR(INDEX(Parametros!$C$13:$C$15,MATCH(C78,Parametros!$A$13:$A$15,0)),0))</f>
        <v/>
      </c>
      <c r="M78" s="27" t="str">
        <f aca="false">IF(A78="","",IF(C78="Wise Makers",F78,0))</f>
        <v/>
      </c>
    </row>
    <row r="79" customFormat="false" ht="15" hidden="false" customHeight="false" outlineLevel="0" collapsed="false">
      <c r="A79" s="25"/>
      <c r="F79" s="27"/>
      <c r="H79" s="27"/>
      <c r="I79" s="27"/>
      <c r="J79" s="27" t="str">
        <f aca="false">IF(A79="","",IF(C79="Wise Makers",F79*MIN(IF(G79="",Parametros!$B$5,G79),Parametros!$B$4),H79))</f>
        <v/>
      </c>
      <c r="K79" s="27" t="str">
        <f aca="false">IF(A79="","",I79*IFERROR(INDEX(Parametros!$B$13:$B$15,MATCH(C79,Parametros!$A$13:$A$15,0)),0))</f>
        <v/>
      </c>
      <c r="L79" s="27" t="str">
        <f aca="false">IF(A79="","",I79*IFERROR(INDEX(Parametros!$C$13:$C$15,MATCH(C79,Parametros!$A$13:$A$15,0)),0))</f>
        <v/>
      </c>
      <c r="M79" s="27" t="str">
        <f aca="false">IF(A79="","",IF(C79="Wise Makers",F79,0))</f>
        <v/>
      </c>
    </row>
    <row r="80" customFormat="false" ht="15" hidden="false" customHeight="false" outlineLevel="0" collapsed="false">
      <c r="A80" s="25"/>
      <c r="F80" s="27"/>
      <c r="H80" s="27"/>
      <c r="I80" s="27"/>
      <c r="J80" s="27" t="str">
        <f aca="false">IF(A80="","",IF(C80="Wise Makers",F80*MIN(IF(G80="",Parametros!$B$5,G80),Parametros!$B$4),H80))</f>
        <v/>
      </c>
      <c r="K80" s="27" t="str">
        <f aca="false">IF(A80="","",I80*IFERROR(INDEX(Parametros!$B$13:$B$15,MATCH(C80,Parametros!$A$13:$A$15,0)),0))</f>
        <v/>
      </c>
      <c r="L80" s="27" t="str">
        <f aca="false">IF(A80="","",I80*IFERROR(INDEX(Parametros!$C$13:$C$15,MATCH(C80,Parametros!$A$13:$A$15,0)),0))</f>
        <v/>
      </c>
      <c r="M80" s="27" t="str">
        <f aca="false">IF(A80="","",IF(C80="Wise Makers",F80,0))</f>
        <v/>
      </c>
    </row>
    <row r="81" customFormat="false" ht="15" hidden="false" customHeight="false" outlineLevel="0" collapsed="false">
      <c r="A81" s="25"/>
      <c r="F81" s="27"/>
      <c r="H81" s="27"/>
      <c r="I81" s="27"/>
      <c r="J81" s="27" t="str">
        <f aca="false">IF(A81="","",IF(C81="Wise Makers",F81*MIN(IF(G81="",Parametros!$B$5,G81),Parametros!$B$4),H81))</f>
        <v/>
      </c>
      <c r="K81" s="27" t="str">
        <f aca="false">IF(A81="","",I81*IFERROR(INDEX(Parametros!$B$13:$B$15,MATCH(C81,Parametros!$A$13:$A$15,0)),0))</f>
        <v/>
      </c>
      <c r="L81" s="27" t="str">
        <f aca="false">IF(A81="","",I81*IFERROR(INDEX(Parametros!$C$13:$C$15,MATCH(C81,Parametros!$A$13:$A$15,0)),0))</f>
        <v/>
      </c>
      <c r="M81" s="27" t="str">
        <f aca="false">IF(A81="","",IF(C81="Wise Makers",F81,0))</f>
        <v/>
      </c>
    </row>
    <row r="82" customFormat="false" ht="15" hidden="false" customHeight="false" outlineLevel="0" collapsed="false">
      <c r="A82" s="25"/>
      <c r="F82" s="27"/>
      <c r="H82" s="27"/>
      <c r="I82" s="27"/>
      <c r="J82" s="27" t="str">
        <f aca="false">IF(A82="","",IF(C82="Wise Makers",F82*MIN(IF(G82="",Parametros!$B$5,G82),Parametros!$B$4),H82))</f>
        <v/>
      </c>
      <c r="K82" s="27" t="str">
        <f aca="false">IF(A82="","",I82*IFERROR(INDEX(Parametros!$B$13:$B$15,MATCH(C82,Parametros!$A$13:$A$15,0)),0))</f>
        <v/>
      </c>
      <c r="L82" s="27" t="str">
        <f aca="false">IF(A82="","",I82*IFERROR(INDEX(Parametros!$C$13:$C$15,MATCH(C82,Parametros!$A$13:$A$15,0)),0))</f>
        <v/>
      </c>
      <c r="M82" s="27" t="str">
        <f aca="false">IF(A82="","",IF(C82="Wise Makers",F82,0))</f>
        <v/>
      </c>
    </row>
    <row r="83" customFormat="false" ht="15" hidden="false" customHeight="false" outlineLevel="0" collapsed="false">
      <c r="A83" s="25"/>
      <c r="F83" s="27"/>
      <c r="H83" s="27"/>
      <c r="I83" s="27"/>
      <c r="J83" s="27" t="str">
        <f aca="false">IF(A83="","",IF(C83="Wise Makers",F83*MIN(IF(G83="",Parametros!$B$5,G83),Parametros!$B$4),H83))</f>
        <v/>
      </c>
      <c r="K83" s="27" t="str">
        <f aca="false">IF(A83="","",I83*IFERROR(INDEX(Parametros!$B$13:$B$15,MATCH(C83,Parametros!$A$13:$A$15,0)),0))</f>
        <v/>
      </c>
      <c r="L83" s="27" t="str">
        <f aca="false">IF(A83="","",I83*IFERROR(INDEX(Parametros!$C$13:$C$15,MATCH(C83,Parametros!$A$13:$A$15,0)),0))</f>
        <v/>
      </c>
      <c r="M83" s="27" t="str">
        <f aca="false">IF(A83="","",IF(C83="Wise Makers",F83,0))</f>
        <v/>
      </c>
    </row>
    <row r="84" customFormat="false" ht="15" hidden="false" customHeight="false" outlineLevel="0" collapsed="false">
      <c r="A84" s="25"/>
      <c r="F84" s="27"/>
      <c r="H84" s="27"/>
      <c r="I84" s="27"/>
      <c r="J84" s="27" t="str">
        <f aca="false">IF(A84="","",IF(C84="Wise Makers",F84*MIN(IF(G84="",Parametros!$B$5,G84),Parametros!$B$4),H84))</f>
        <v/>
      </c>
      <c r="K84" s="27" t="str">
        <f aca="false">IF(A84="","",I84*IFERROR(INDEX(Parametros!$B$13:$B$15,MATCH(C84,Parametros!$A$13:$A$15,0)),0))</f>
        <v/>
      </c>
      <c r="L84" s="27" t="str">
        <f aca="false">IF(A84="","",I84*IFERROR(INDEX(Parametros!$C$13:$C$15,MATCH(C84,Parametros!$A$13:$A$15,0)),0))</f>
        <v/>
      </c>
      <c r="M84" s="27" t="str">
        <f aca="false">IF(A84="","",IF(C84="Wise Makers",F84,0))</f>
        <v/>
      </c>
    </row>
    <row r="85" customFormat="false" ht="15" hidden="false" customHeight="false" outlineLevel="0" collapsed="false">
      <c r="A85" s="25"/>
      <c r="F85" s="27"/>
      <c r="H85" s="27"/>
      <c r="I85" s="27"/>
      <c r="J85" s="27" t="str">
        <f aca="false">IF(A85="","",IF(C85="Wise Makers",F85*MIN(IF(G85="",Parametros!$B$5,G85),Parametros!$B$4),H85))</f>
        <v/>
      </c>
      <c r="K85" s="27" t="str">
        <f aca="false">IF(A85="","",I85*IFERROR(INDEX(Parametros!$B$13:$B$15,MATCH(C85,Parametros!$A$13:$A$15,0)),0))</f>
        <v/>
      </c>
      <c r="L85" s="27" t="str">
        <f aca="false">IF(A85="","",I85*IFERROR(INDEX(Parametros!$C$13:$C$15,MATCH(C85,Parametros!$A$13:$A$15,0)),0))</f>
        <v/>
      </c>
      <c r="M85" s="27" t="str">
        <f aca="false">IF(A85="","",IF(C85="Wise Makers",F85,0))</f>
        <v/>
      </c>
    </row>
    <row r="86" customFormat="false" ht="15" hidden="false" customHeight="false" outlineLevel="0" collapsed="false">
      <c r="A86" s="25"/>
      <c r="F86" s="27"/>
      <c r="H86" s="27"/>
      <c r="I86" s="27"/>
      <c r="J86" s="27" t="str">
        <f aca="false">IF(A86="","",IF(C86="Wise Makers",F86*MIN(IF(G86="",Parametros!$B$5,G86),Parametros!$B$4),H86))</f>
        <v/>
      </c>
      <c r="K86" s="27" t="str">
        <f aca="false">IF(A86="","",I86*IFERROR(INDEX(Parametros!$B$13:$B$15,MATCH(C86,Parametros!$A$13:$A$15,0)),0))</f>
        <v/>
      </c>
      <c r="L86" s="27" t="str">
        <f aca="false">IF(A86="","",I86*IFERROR(INDEX(Parametros!$C$13:$C$15,MATCH(C86,Parametros!$A$13:$A$15,0)),0))</f>
        <v/>
      </c>
      <c r="M86" s="27" t="str">
        <f aca="false">IF(A86="","",IF(C86="Wise Makers",F86,0))</f>
        <v/>
      </c>
    </row>
    <row r="87" customFormat="false" ht="15" hidden="false" customHeight="false" outlineLevel="0" collapsed="false">
      <c r="A87" s="25"/>
      <c r="F87" s="27"/>
      <c r="H87" s="27"/>
      <c r="I87" s="27"/>
      <c r="J87" s="27" t="str">
        <f aca="false">IF(A87="","",IF(C87="Wise Makers",F87*MIN(IF(G87="",Parametros!$B$5,G87),Parametros!$B$4),H87))</f>
        <v/>
      </c>
      <c r="K87" s="27" t="str">
        <f aca="false">IF(A87="","",I87*IFERROR(INDEX(Parametros!$B$13:$B$15,MATCH(C87,Parametros!$A$13:$A$15,0)),0))</f>
        <v/>
      </c>
      <c r="L87" s="27" t="str">
        <f aca="false">IF(A87="","",I87*IFERROR(INDEX(Parametros!$C$13:$C$15,MATCH(C87,Parametros!$A$13:$A$15,0)),0))</f>
        <v/>
      </c>
      <c r="M87" s="27" t="str">
        <f aca="false">IF(A87="","",IF(C87="Wise Makers",F87,0))</f>
        <v/>
      </c>
    </row>
    <row r="88" customFormat="false" ht="15" hidden="false" customHeight="false" outlineLevel="0" collapsed="false">
      <c r="A88" s="25"/>
      <c r="F88" s="27"/>
      <c r="H88" s="27"/>
      <c r="I88" s="27"/>
      <c r="J88" s="27" t="str">
        <f aca="false">IF(A88="","",IF(C88="Wise Makers",F88*MIN(IF(G88="",Parametros!$B$5,G88),Parametros!$B$4),H88))</f>
        <v/>
      </c>
      <c r="K88" s="27" t="str">
        <f aca="false">IF(A88="","",I88*IFERROR(INDEX(Parametros!$B$13:$B$15,MATCH(C88,Parametros!$A$13:$A$15,0)),0))</f>
        <v/>
      </c>
      <c r="L88" s="27" t="str">
        <f aca="false">IF(A88="","",I88*IFERROR(INDEX(Parametros!$C$13:$C$15,MATCH(C88,Parametros!$A$13:$A$15,0)),0))</f>
        <v/>
      </c>
      <c r="M88" s="27" t="str">
        <f aca="false">IF(A88="","",IF(C88="Wise Makers",F88,0))</f>
        <v/>
      </c>
    </row>
    <row r="89" customFormat="false" ht="15" hidden="false" customHeight="false" outlineLevel="0" collapsed="false">
      <c r="A89" s="25"/>
      <c r="F89" s="27"/>
      <c r="H89" s="27"/>
      <c r="I89" s="27"/>
      <c r="J89" s="27" t="str">
        <f aca="false">IF(A89="","",IF(C89="Wise Makers",F89*MIN(IF(G89="",Parametros!$B$5,G89),Parametros!$B$4),H89))</f>
        <v/>
      </c>
      <c r="K89" s="27" t="str">
        <f aca="false">IF(A89="","",I89*IFERROR(INDEX(Parametros!$B$13:$B$15,MATCH(C89,Parametros!$A$13:$A$15,0)),0))</f>
        <v/>
      </c>
      <c r="L89" s="27" t="str">
        <f aca="false">IF(A89="","",I89*IFERROR(INDEX(Parametros!$C$13:$C$15,MATCH(C89,Parametros!$A$13:$A$15,0)),0))</f>
        <v/>
      </c>
      <c r="M89" s="27" t="str">
        <f aca="false">IF(A89="","",IF(C89="Wise Makers",F89,0))</f>
        <v/>
      </c>
    </row>
    <row r="90" customFormat="false" ht="15" hidden="false" customHeight="false" outlineLevel="0" collapsed="false">
      <c r="A90" s="25"/>
      <c r="F90" s="27"/>
      <c r="H90" s="27"/>
      <c r="I90" s="27"/>
      <c r="J90" s="27" t="str">
        <f aca="false">IF(A90="","",IF(C90="Wise Makers",F90*MIN(IF(G90="",Parametros!$B$5,G90),Parametros!$B$4),H90))</f>
        <v/>
      </c>
      <c r="K90" s="27" t="str">
        <f aca="false">IF(A90="","",I90*IFERROR(INDEX(Parametros!$B$13:$B$15,MATCH(C90,Parametros!$A$13:$A$15,0)),0))</f>
        <v/>
      </c>
      <c r="L90" s="27" t="str">
        <f aca="false">IF(A90="","",I90*IFERROR(INDEX(Parametros!$C$13:$C$15,MATCH(C90,Parametros!$A$13:$A$15,0)),0))</f>
        <v/>
      </c>
      <c r="M90" s="27" t="str">
        <f aca="false">IF(A90="","",IF(C90="Wise Makers",F90,0))</f>
        <v/>
      </c>
    </row>
    <row r="91" customFormat="false" ht="15" hidden="false" customHeight="false" outlineLevel="0" collapsed="false">
      <c r="A91" s="25"/>
      <c r="F91" s="27"/>
      <c r="H91" s="27"/>
      <c r="I91" s="27"/>
      <c r="J91" s="27" t="str">
        <f aca="false">IF(A91="","",IF(C91="Wise Makers",F91*MIN(IF(G91="",Parametros!$B$5,G91),Parametros!$B$4),H91))</f>
        <v/>
      </c>
      <c r="K91" s="27" t="str">
        <f aca="false">IF(A91="","",I91*IFERROR(INDEX(Parametros!$B$13:$B$15,MATCH(C91,Parametros!$A$13:$A$15,0)),0))</f>
        <v/>
      </c>
      <c r="L91" s="27" t="str">
        <f aca="false">IF(A91="","",I91*IFERROR(INDEX(Parametros!$C$13:$C$15,MATCH(C91,Parametros!$A$13:$A$15,0)),0))</f>
        <v/>
      </c>
      <c r="M91" s="27" t="str">
        <f aca="false">IF(A91="","",IF(C91="Wise Makers",F91,0))</f>
        <v/>
      </c>
    </row>
    <row r="92" customFormat="false" ht="15" hidden="false" customHeight="false" outlineLevel="0" collapsed="false">
      <c r="A92" s="25"/>
      <c r="F92" s="27"/>
      <c r="H92" s="27"/>
      <c r="I92" s="27"/>
      <c r="J92" s="27" t="str">
        <f aca="false">IF(A92="","",IF(C92="Wise Makers",F92*MIN(IF(G92="",Parametros!$B$5,G92),Parametros!$B$4),H92))</f>
        <v/>
      </c>
      <c r="K92" s="27" t="str">
        <f aca="false">IF(A92="","",I92*IFERROR(INDEX(Parametros!$B$13:$B$15,MATCH(C92,Parametros!$A$13:$A$15,0)),0))</f>
        <v/>
      </c>
      <c r="L92" s="27" t="str">
        <f aca="false">IF(A92="","",I92*IFERROR(INDEX(Parametros!$C$13:$C$15,MATCH(C92,Parametros!$A$13:$A$15,0)),0))</f>
        <v/>
      </c>
      <c r="M92" s="27" t="str">
        <f aca="false">IF(A92="","",IF(C92="Wise Makers",F92,0))</f>
        <v/>
      </c>
    </row>
    <row r="93" customFormat="false" ht="15" hidden="false" customHeight="false" outlineLevel="0" collapsed="false">
      <c r="A93" s="25"/>
      <c r="F93" s="27"/>
      <c r="H93" s="27"/>
      <c r="I93" s="27"/>
      <c r="J93" s="27" t="str">
        <f aca="false">IF(A93="","",IF(C93="Wise Makers",F93*MIN(IF(G93="",Parametros!$B$5,G93),Parametros!$B$4),H93))</f>
        <v/>
      </c>
      <c r="K93" s="27" t="str">
        <f aca="false">IF(A93="","",I93*IFERROR(INDEX(Parametros!$B$13:$B$15,MATCH(C93,Parametros!$A$13:$A$15,0)),0))</f>
        <v/>
      </c>
      <c r="L93" s="27" t="str">
        <f aca="false">IF(A93="","",I93*IFERROR(INDEX(Parametros!$C$13:$C$15,MATCH(C93,Parametros!$A$13:$A$15,0)),0))</f>
        <v/>
      </c>
      <c r="M93" s="27" t="str">
        <f aca="false">IF(A93="","",IF(C93="Wise Makers",F93,0))</f>
        <v/>
      </c>
    </row>
    <row r="94" customFormat="false" ht="15" hidden="false" customHeight="false" outlineLevel="0" collapsed="false">
      <c r="A94" s="25"/>
      <c r="F94" s="27"/>
      <c r="H94" s="27"/>
      <c r="I94" s="27"/>
      <c r="J94" s="27" t="str">
        <f aca="false">IF(A94="","",IF(C94="Wise Makers",F94*MIN(IF(G94="",Parametros!$B$5,G94),Parametros!$B$4),H94))</f>
        <v/>
      </c>
      <c r="K94" s="27" t="str">
        <f aca="false">IF(A94="","",I94*IFERROR(INDEX(Parametros!$B$13:$B$15,MATCH(C94,Parametros!$A$13:$A$15,0)),0))</f>
        <v/>
      </c>
      <c r="L94" s="27" t="str">
        <f aca="false">IF(A94="","",I94*IFERROR(INDEX(Parametros!$C$13:$C$15,MATCH(C94,Parametros!$A$13:$A$15,0)),0))</f>
        <v/>
      </c>
      <c r="M94" s="27" t="str">
        <f aca="false">IF(A94="","",IF(C94="Wise Makers",F94,0))</f>
        <v/>
      </c>
    </row>
    <row r="95" customFormat="false" ht="15" hidden="false" customHeight="false" outlineLevel="0" collapsed="false">
      <c r="A95" s="25"/>
      <c r="F95" s="27"/>
      <c r="H95" s="27"/>
      <c r="I95" s="27"/>
      <c r="J95" s="27" t="str">
        <f aca="false">IF(A95="","",IF(C95="Wise Makers",F95*MIN(IF(G95="",Parametros!$B$5,G95),Parametros!$B$4),H95))</f>
        <v/>
      </c>
      <c r="K95" s="27" t="str">
        <f aca="false">IF(A95="","",I95*IFERROR(INDEX(Parametros!$B$13:$B$15,MATCH(C95,Parametros!$A$13:$A$15,0)),0))</f>
        <v/>
      </c>
      <c r="L95" s="27" t="str">
        <f aca="false">IF(A95="","",I95*IFERROR(INDEX(Parametros!$C$13:$C$15,MATCH(C95,Parametros!$A$13:$A$15,0)),0))</f>
        <v/>
      </c>
      <c r="M95" s="27" t="str">
        <f aca="false">IF(A95="","",IF(C95="Wise Makers",F95,0))</f>
        <v/>
      </c>
    </row>
    <row r="96" customFormat="false" ht="15" hidden="false" customHeight="false" outlineLevel="0" collapsed="false">
      <c r="A96" s="25"/>
      <c r="F96" s="27"/>
      <c r="H96" s="27"/>
      <c r="I96" s="27"/>
      <c r="J96" s="27" t="str">
        <f aca="false">IF(A96="","",IF(C96="Wise Makers",F96*MIN(IF(G96="",Parametros!$B$5,G96),Parametros!$B$4),H96))</f>
        <v/>
      </c>
      <c r="K96" s="27" t="str">
        <f aca="false">IF(A96="","",I96*IFERROR(INDEX(Parametros!$B$13:$B$15,MATCH(C96,Parametros!$A$13:$A$15,0)),0))</f>
        <v/>
      </c>
      <c r="L96" s="27" t="str">
        <f aca="false">IF(A96="","",I96*IFERROR(INDEX(Parametros!$C$13:$C$15,MATCH(C96,Parametros!$A$13:$A$15,0)),0))</f>
        <v/>
      </c>
      <c r="M96" s="27" t="str">
        <f aca="false">IF(A96="","",IF(C96="Wise Makers",F96,0))</f>
        <v/>
      </c>
    </row>
    <row r="97" customFormat="false" ht="15" hidden="false" customHeight="false" outlineLevel="0" collapsed="false">
      <c r="A97" s="25"/>
      <c r="F97" s="27"/>
      <c r="H97" s="27"/>
      <c r="I97" s="27"/>
      <c r="J97" s="27" t="str">
        <f aca="false">IF(A97="","",IF(C97="Wise Makers",F97*MIN(IF(G97="",Parametros!$B$5,G97),Parametros!$B$4),H97))</f>
        <v/>
      </c>
      <c r="K97" s="27" t="str">
        <f aca="false">IF(A97="","",I97*IFERROR(INDEX(Parametros!$B$13:$B$15,MATCH(C97,Parametros!$A$13:$A$15,0)),0))</f>
        <v/>
      </c>
      <c r="L97" s="27" t="str">
        <f aca="false">IF(A97="","",I97*IFERROR(INDEX(Parametros!$C$13:$C$15,MATCH(C97,Parametros!$A$13:$A$15,0)),0))</f>
        <v/>
      </c>
      <c r="M97" s="27" t="str">
        <f aca="false">IF(A97="","",IF(C97="Wise Makers",F97,0))</f>
        <v/>
      </c>
    </row>
    <row r="98" customFormat="false" ht="15" hidden="false" customHeight="false" outlineLevel="0" collapsed="false">
      <c r="A98" s="25"/>
      <c r="F98" s="27"/>
      <c r="H98" s="27"/>
      <c r="I98" s="27"/>
      <c r="J98" s="27" t="str">
        <f aca="false">IF(A98="","",IF(C98="Wise Makers",F98*MIN(IF(G98="",Parametros!$B$5,G98),Parametros!$B$4),H98))</f>
        <v/>
      </c>
      <c r="K98" s="27" t="str">
        <f aca="false">IF(A98="","",I98*IFERROR(INDEX(Parametros!$B$13:$B$15,MATCH(C98,Parametros!$A$13:$A$15,0)),0))</f>
        <v/>
      </c>
      <c r="L98" s="27" t="str">
        <f aca="false">IF(A98="","",I98*IFERROR(INDEX(Parametros!$C$13:$C$15,MATCH(C98,Parametros!$A$13:$A$15,0)),0))</f>
        <v/>
      </c>
      <c r="M98" s="27" t="str">
        <f aca="false">IF(A98="","",IF(C98="Wise Makers",F98,0))</f>
        <v/>
      </c>
    </row>
    <row r="99" customFormat="false" ht="15" hidden="false" customHeight="false" outlineLevel="0" collapsed="false">
      <c r="A99" s="25"/>
      <c r="F99" s="27"/>
      <c r="H99" s="27"/>
      <c r="I99" s="27"/>
      <c r="J99" s="27" t="str">
        <f aca="false">IF(A99="","",IF(C99="Wise Makers",F99*MIN(IF(G99="",Parametros!$B$5,G99),Parametros!$B$4),H99))</f>
        <v/>
      </c>
      <c r="K99" s="27" t="str">
        <f aca="false">IF(A99="","",I99*IFERROR(INDEX(Parametros!$B$13:$B$15,MATCH(C99,Parametros!$A$13:$A$15,0)),0))</f>
        <v/>
      </c>
      <c r="L99" s="27" t="str">
        <f aca="false">IF(A99="","",I99*IFERROR(INDEX(Parametros!$C$13:$C$15,MATCH(C99,Parametros!$A$13:$A$15,0)),0))</f>
        <v/>
      </c>
      <c r="M99" s="27" t="str">
        <f aca="false">IF(A99="","",IF(C99="Wise Makers",F99,0))</f>
        <v/>
      </c>
    </row>
    <row r="100" customFormat="false" ht="15" hidden="false" customHeight="false" outlineLevel="0" collapsed="false">
      <c r="A100" s="25"/>
      <c r="F100" s="27"/>
      <c r="H100" s="27"/>
      <c r="I100" s="27"/>
      <c r="J100" s="27" t="str">
        <f aca="false">IF(A100="","",IF(C100="Wise Makers",F100*MIN(IF(G100="",Parametros!$B$5,G100),Parametros!$B$4),H100))</f>
        <v/>
      </c>
      <c r="K100" s="27" t="str">
        <f aca="false">IF(A100="","",I100*IFERROR(INDEX(Parametros!$B$13:$B$15,MATCH(C100,Parametros!$A$13:$A$15,0)),0))</f>
        <v/>
      </c>
      <c r="L100" s="27" t="str">
        <f aca="false">IF(A100="","",I100*IFERROR(INDEX(Parametros!$C$13:$C$15,MATCH(C100,Parametros!$A$13:$A$15,0)),0))</f>
        <v/>
      </c>
      <c r="M100" s="27" t="str">
        <f aca="false">IF(A100="","",IF(C100="Wise Makers",F100,0))</f>
        <v/>
      </c>
    </row>
    <row r="101" customFormat="false" ht="15" hidden="false" customHeight="false" outlineLevel="0" collapsed="false">
      <c r="A101" s="25"/>
      <c r="F101" s="27"/>
      <c r="H101" s="27"/>
      <c r="I101" s="27"/>
      <c r="J101" s="27" t="str">
        <f aca="false">IF(A101="","",IF(C101="Wise Makers",F101*MIN(IF(G101="",Parametros!$B$5,G101),Parametros!$B$4),H101))</f>
        <v/>
      </c>
      <c r="K101" s="27" t="str">
        <f aca="false">IF(A101="","",I101*IFERROR(INDEX(Parametros!$B$13:$B$15,MATCH(C101,Parametros!$A$13:$A$15,0)),0))</f>
        <v/>
      </c>
      <c r="L101" s="27" t="str">
        <f aca="false">IF(A101="","",I101*IFERROR(INDEX(Parametros!$C$13:$C$15,MATCH(C101,Parametros!$A$13:$A$15,0)),0))</f>
        <v/>
      </c>
      <c r="M101" s="27" t="str">
        <f aca="false">IF(A101="","",IF(C101="Wise Makers",F101,0))</f>
        <v/>
      </c>
    </row>
    <row r="102" customFormat="false" ht="15" hidden="false" customHeight="false" outlineLevel="0" collapsed="false">
      <c r="A102" s="25"/>
      <c r="F102" s="27"/>
      <c r="H102" s="27"/>
      <c r="I102" s="27"/>
      <c r="J102" s="27" t="str">
        <f aca="false">IF(A102="","",IF(C102="Wise Makers",F102*MIN(IF(G102="",Parametros!$B$5,G102),Parametros!$B$4),H102))</f>
        <v/>
      </c>
      <c r="K102" s="27" t="str">
        <f aca="false">IF(A102="","",I102*IFERROR(INDEX(Parametros!$B$13:$B$15,MATCH(C102,Parametros!$A$13:$A$15,0)),0))</f>
        <v/>
      </c>
      <c r="L102" s="27" t="str">
        <f aca="false">IF(A102="","",I102*IFERROR(INDEX(Parametros!$C$13:$C$15,MATCH(C102,Parametros!$A$13:$A$15,0)),0))</f>
        <v/>
      </c>
      <c r="M102" s="27" t="str">
        <f aca="false">IF(A102="","",IF(C102="Wise Makers",F102,0))</f>
        <v/>
      </c>
    </row>
    <row r="103" customFormat="false" ht="15" hidden="false" customHeight="false" outlineLevel="0" collapsed="false">
      <c r="A103" s="25"/>
      <c r="F103" s="27"/>
      <c r="H103" s="27"/>
      <c r="I103" s="27"/>
      <c r="J103" s="27" t="str">
        <f aca="false">IF(A103="","",IF(C103="Wise Makers",F103*MIN(IF(G103="",Parametros!$B$5,G103),Parametros!$B$4),H103))</f>
        <v/>
      </c>
      <c r="K103" s="27" t="str">
        <f aca="false">IF(A103="","",I103*IFERROR(INDEX(Parametros!$B$13:$B$15,MATCH(C103,Parametros!$A$13:$A$15,0)),0))</f>
        <v/>
      </c>
      <c r="L103" s="27" t="str">
        <f aca="false">IF(A103="","",I103*IFERROR(INDEX(Parametros!$C$13:$C$15,MATCH(C103,Parametros!$A$13:$A$15,0)),0))</f>
        <v/>
      </c>
      <c r="M103" s="27" t="str">
        <f aca="false">IF(A103="","",IF(C103="Wise Makers",F103,0))</f>
        <v/>
      </c>
    </row>
    <row r="104" customFormat="false" ht="15" hidden="false" customHeight="false" outlineLevel="0" collapsed="false">
      <c r="A104" s="25"/>
      <c r="F104" s="27"/>
      <c r="H104" s="27"/>
      <c r="I104" s="27"/>
      <c r="J104" s="27" t="str">
        <f aca="false">IF(A104="","",IF(C104="Wise Makers",F104*MIN(IF(G104="",Parametros!$B$5,G104),Parametros!$B$4),H104))</f>
        <v/>
      </c>
      <c r="K104" s="27" t="str">
        <f aca="false">IF(A104="","",I104*IFERROR(INDEX(Parametros!$B$13:$B$15,MATCH(C104,Parametros!$A$13:$A$15,0)),0))</f>
        <v/>
      </c>
      <c r="L104" s="27" t="str">
        <f aca="false">IF(A104="","",I104*IFERROR(INDEX(Parametros!$C$13:$C$15,MATCH(C104,Parametros!$A$13:$A$15,0)),0))</f>
        <v/>
      </c>
      <c r="M104" s="27" t="str">
        <f aca="false">IF(A104="","",IF(C104="Wise Makers",F104,0))</f>
        <v/>
      </c>
    </row>
    <row r="105" customFormat="false" ht="15" hidden="false" customHeight="false" outlineLevel="0" collapsed="false">
      <c r="A105" s="25"/>
      <c r="F105" s="27"/>
      <c r="H105" s="27"/>
      <c r="I105" s="27"/>
      <c r="J105" s="27" t="str">
        <f aca="false">IF(A105="","",IF(C105="Wise Makers",F105*MIN(IF(G105="",Parametros!$B$5,G105),Parametros!$B$4),H105))</f>
        <v/>
      </c>
      <c r="K105" s="27" t="str">
        <f aca="false">IF(A105="","",I105*IFERROR(INDEX(Parametros!$B$13:$B$15,MATCH(C105,Parametros!$A$13:$A$15,0)),0))</f>
        <v/>
      </c>
      <c r="L105" s="27" t="str">
        <f aca="false">IF(A105="","",I105*IFERROR(INDEX(Parametros!$C$13:$C$15,MATCH(C105,Parametros!$A$13:$A$15,0)),0))</f>
        <v/>
      </c>
      <c r="M105" s="27" t="str">
        <f aca="false">IF(A105="","",IF(C105="Wise Makers",F105,0))</f>
        <v/>
      </c>
    </row>
    <row r="106" customFormat="false" ht="15" hidden="false" customHeight="false" outlineLevel="0" collapsed="false">
      <c r="A106" s="25"/>
      <c r="F106" s="27"/>
      <c r="H106" s="27"/>
      <c r="I106" s="27"/>
      <c r="J106" s="27" t="str">
        <f aca="false">IF(A106="","",IF(C106="Wise Makers",F106*MIN(IF(G106="",Parametros!$B$5,G106),Parametros!$B$4),H106))</f>
        <v/>
      </c>
      <c r="K106" s="27" t="str">
        <f aca="false">IF(A106="","",I106*IFERROR(INDEX(Parametros!$B$13:$B$15,MATCH(C106,Parametros!$A$13:$A$15,0)),0))</f>
        <v/>
      </c>
      <c r="L106" s="27" t="str">
        <f aca="false">IF(A106="","",I106*IFERROR(INDEX(Parametros!$C$13:$C$15,MATCH(C106,Parametros!$A$13:$A$15,0)),0))</f>
        <v/>
      </c>
      <c r="M106" s="27" t="str">
        <f aca="false">IF(A106="","",IF(C106="Wise Makers",F106,0))</f>
        <v/>
      </c>
    </row>
    <row r="107" customFormat="false" ht="15" hidden="false" customHeight="false" outlineLevel="0" collapsed="false">
      <c r="A107" s="25"/>
      <c r="F107" s="27"/>
      <c r="H107" s="27"/>
      <c r="I107" s="27"/>
      <c r="J107" s="27" t="str">
        <f aca="false">IF(A107="","",IF(C107="Wise Makers",F107*MIN(IF(G107="",Parametros!$B$5,G107),Parametros!$B$4),H107))</f>
        <v/>
      </c>
      <c r="K107" s="27" t="str">
        <f aca="false">IF(A107="","",I107*IFERROR(INDEX(Parametros!$B$13:$B$15,MATCH(C107,Parametros!$A$13:$A$15,0)),0))</f>
        <v/>
      </c>
      <c r="L107" s="27" t="str">
        <f aca="false">IF(A107="","",I107*IFERROR(INDEX(Parametros!$C$13:$C$15,MATCH(C107,Parametros!$A$13:$A$15,0)),0))</f>
        <v/>
      </c>
      <c r="M107" s="27" t="str">
        <f aca="false">IF(A107="","",IF(C107="Wise Makers",F107,0))</f>
        <v/>
      </c>
    </row>
    <row r="108" customFormat="false" ht="15" hidden="false" customHeight="false" outlineLevel="0" collapsed="false">
      <c r="A108" s="25"/>
      <c r="F108" s="27"/>
      <c r="H108" s="27"/>
      <c r="I108" s="27"/>
      <c r="J108" s="27" t="str">
        <f aca="false">IF(A108="","",IF(C108="Wise Makers",F108*MIN(IF(G108="",Parametros!$B$5,G108),Parametros!$B$4),H108))</f>
        <v/>
      </c>
      <c r="K108" s="27" t="str">
        <f aca="false">IF(A108="","",I108*IFERROR(INDEX(Parametros!$B$13:$B$15,MATCH(C108,Parametros!$A$13:$A$15,0)),0))</f>
        <v/>
      </c>
      <c r="L108" s="27" t="str">
        <f aca="false">IF(A108="","",I108*IFERROR(INDEX(Parametros!$C$13:$C$15,MATCH(C108,Parametros!$A$13:$A$15,0)),0))</f>
        <v/>
      </c>
      <c r="M108" s="27" t="str">
        <f aca="false">IF(A108="","",IF(C108="Wise Makers",F108,0))</f>
        <v/>
      </c>
    </row>
    <row r="109" customFormat="false" ht="15" hidden="false" customHeight="false" outlineLevel="0" collapsed="false">
      <c r="A109" s="25"/>
      <c r="F109" s="27"/>
      <c r="H109" s="27"/>
      <c r="I109" s="27"/>
      <c r="J109" s="27" t="str">
        <f aca="false">IF(A109="","",IF(C109="Wise Makers",F109*MIN(IF(G109="",Parametros!$B$5,G109),Parametros!$B$4),H109))</f>
        <v/>
      </c>
      <c r="K109" s="27" t="str">
        <f aca="false">IF(A109="","",I109*IFERROR(INDEX(Parametros!$B$13:$B$15,MATCH(C109,Parametros!$A$13:$A$15,0)),0))</f>
        <v/>
      </c>
      <c r="L109" s="27" t="str">
        <f aca="false">IF(A109="","",I109*IFERROR(INDEX(Parametros!$C$13:$C$15,MATCH(C109,Parametros!$A$13:$A$15,0)),0))</f>
        <v/>
      </c>
      <c r="M109" s="27" t="str">
        <f aca="false">IF(A109="","",IF(C109="Wise Makers",F109,0))</f>
        <v/>
      </c>
    </row>
    <row r="110" customFormat="false" ht="15" hidden="false" customHeight="false" outlineLevel="0" collapsed="false">
      <c r="A110" s="25"/>
      <c r="F110" s="27"/>
      <c r="H110" s="27"/>
      <c r="I110" s="27"/>
      <c r="J110" s="27" t="str">
        <f aca="false">IF(A110="","",IF(C110="Wise Makers",F110*MIN(IF(G110="",Parametros!$B$5,G110),Parametros!$B$4),H110))</f>
        <v/>
      </c>
      <c r="K110" s="27" t="str">
        <f aca="false">IF(A110="","",I110*IFERROR(INDEX(Parametros!$B$13:$B$15,MATCH(C110,Parametros!$A$13:$A$15,0)),0))</f>
        <v/>
      </c>
      <c r="L110" s="27" t="str">
        <f aca="false">IF(A110="","",I110*IFERROR(INDEX(Parametros!$C$13:$C$15,MATCH(C110,Parametros!$A$13:$A$15,0)),0))</f>
        <v/>
      </c>
      <c r="M110" s="27" t="str">
        <f aca="false">IF(A110="","",IF(C110="Wise Makers",F110,0))</f>
        <v/>
      </c>
    </row>
    <row r="111" customFormat="false" ht="15" hidden="false" customHeight="false" outlineLevel="0" collapsed="false">
      <c r="A111" s="25"/>
      <c r="F111" s="27"/>
      <c r="H111" s="27"/>
      <c r="I111" s="27"/>
      <c r="J111" s="27" t="str">
        <f aca="false">IF(A111="","",IF(C111="Wise Makers",F111*MIN(IF(G111="",Parametros!$B$5,G111),Parametros!$B$4),H111))</f>
        <v/>
      </c>
      <c r="K111" s="27" t="str">
        <f aca="false">IF(A111="","",I111*IFERROR(INDEX(Parametros!$B$13:$B$15,MATCH(C111,Parametros!$A$13:$A$15,0)),0))</f>
        <v/>
      </c>
      <c r="L111" s="27" t="str">
        <f aca="false">IF(A111="","",I111*IFERROR(INDEX(Parametros!$C$13:$C$15,MATCH(C111,Parametros!$A$13:$A$15,0)),0))</f>
        <v/>
      </c>
      <c r="M111" s="27" t="str">
        <f aca="false">IF(A111="","",IF(C111="Wise Makers",F111,0))</f>
        <v/>
      </c>
    </row>
    <row r="112" customFormat="false" ht="15" hidden="false" customHeight="false" outlineLevel="0" collapsed="false">
      <c r="A112" s="25"/>
      <c r="F112" s="27"/>
      <c r="H112" s="27"/>
      <c r="I112" s="27"/>
      <c r="J112" s="27" t="str">
        <f aca="false">IF(A112="","",IF(C112="Wise Makers",F112*MIN(IF(G112="",Parametros!$B$5,G112),Parametros!$B$4),H112))</f>
        <v/>
      </c>
      <c r="K112" s="27" t="str">
        <f aca="false">IF(A112="","",I112*IFERROR(INDEX(Parametros!$B$13:$B$15,MATCH(C112,Parametros!$A$13:$A$15,0)),0))</f>
        <v/>
      </c>
      <c r="L112" s="27" t="str">
        <f aca="false">IF(A112="","",I112*IFERROR(INDEX(Parametros!$C$13:$C$15,MATCH(C112,Parametros!$A$13:$A$15,0)),0))</f>
        <v/>
      </c>
      <c r="M112" s="27" t="str">
        <f aca="false">IF(A112="","",IF(C112="Wise Makers",F112,0))</f>
        <v/>
      </c>
    </row>
    <row r="113" customFormat="false" ht="15" hidden="false" customHeight="false" outlineLevel="0" collapsed="false">
      <c r="A113" s="25"/>
      <c r="F113" s="27"/>
      <c r="H113" s="27"/>
      <c r="I113" s="27"/>
      <c r="J113" s="27" t="str">
        <f aca="false">IF(A113="","",IF(C113="Wise Makers",F113*MIN(IF(G113="",Parametros!$B$5,G113),Parametros!$B$4),H113))</f>
        <v/>
      </c>
      <c r="K113" s="27" t="str">
        <f aca="false">IF(A113="","",I113*IFERROR(INDEX(Parametros!$B$13:$B$15,MATCH(C113,Parametros!$A$13:$A$15,0)),0))</f>
        <v/>
      </c>
      <c r="L113" s="27" t="str">
        <f aca="false">IF(A113="","",I113*IFERROR(INDEX(Parametros!$C$13:$C$15,MATCH(C113,Parametros!$A$13:$A$15,0)),0))</f>
        <v/>
      </c>
      <c r="M113" s="27" t="str">
        <f aca="false">IF(A113="","",IF(C113="Wise Makers",F113,0))</f>
        <v/>
      </c>
    </row>
    <row r="114" customFormat="false" ht="15" hidden="false" customHeight="false" outlineLevel="0" collapsed="false">
      <c r="A114" s="25"/>
      <c r="F114" s="27"/>
      <c r="H114" s="27"/>
      <c r="I114" s="27"/>
      <c r="J114" s="27" t="str">
        <f aca="false">IF(A114="","",IF(C114="Wise Makers",F114*MIN(IF(G114="",Parametros!$B$5,G114),Parametros!$B$4),H114))</f>
        <v/>
      </c>
      <c r="K114" s="27" t="str">
        <f aca="false">IF(A114="","",I114*IFERROR(INDEX(Parametros!$B$13:$B$15,MATCH(C114,Parametros!$A$13:$A$15,0)),0))</f>
        <v/>
      </c>
      <c r="L114" s="27" t="str">
        <f aca="false">IF(A114="","",I114*IFERROR(INDEX(Parametros!$C$13:$C$15,MATCH(C114,Parametros!$A$13:$A$15,0)),0))</f>
        <v/>
      </c>
      <c r="M114" s="27" t="str">
        <f aca="false">IF(A114="","",IF(C114="Wise Makers",F114,0))</f>
        <v/>
      </c>
    </row>
    <row r="115" customFormat="false" ht="15" hidden="false" customHeight="false" outlineLevel="0" collapsed="false">
      <c r="A115" s="25"/>
      <c r="F115" s="27"/>
      <c r="H115" s="27"/>
      <c r="I115" s="27"/>
      <c r="J115" s="27" t="str">
        <f aca="false">IF(A115="","",IF(C115="Wise Makers",F115*MIN(IF(G115="",Parametros!$B$5,G115),Parametros!$B$4),H115))</f>
        <v/>
      </c>
      <c r="K115" s="27" t="str">
        <f aca="false">IF(A115="","",I115*IFERROR(INDEX(Parametros!$B$13:$B$15,MATCH(C115,Parametros!$A$13:$A$15,0)),0))</f>
        <v/>
      </c>
      <c r="L115" s="27" t="str">
        <f aca="false">IF(A115="","",I115*IFERROR(INDEX(Parametros!$C$13:$C$15,MATCH(C115,Parametros!$A$13:$A$15,0)),0))</f>
        <v/>
      </c>
      <c r="M115" s="27" t="str">
        <f aca="false">IF(A115="","",IF(C115="Wise Makers",F115,0))</f>
        <v/>
      </c>
    </row>
    <row r="116" customFormat="false" ht="15" hidden="false" customHeight="false" outlineLevel="0" collapsed="false">
      <c r="A116" s="25"/>
      <c r="F116" s="27"/>
      <c r="H116" s="27"/>
      <c r="I116" s="27"/>
      <c r="J116" s="27" t="str">
        <f aca="false">IF(A116="","",IF(C116="Wise Makers",F116*MIN(IF(G116="",Parametros!$B$5,G116),Parametros!$B$4),H116))</f>
        <v/>
      </c>
      <c r="K116" s="27" t="str">
        <f aca="false">IF(A116="","",I116*IFERROR(INDEX(Parametros!$B$13:$B$15,MATCH(C116,Parametros!$A$13:$A$15,0)),0))</f>
        <v/>
      </c>
      <c r="L116" s="27" t="str">
        <f aca="false">IF(A116="","",I116*IFERROR(INDEX(Parametros!$C$13:$C$15,MATCH(C116,Parametros!$A$13:$A$15,0)),0))</f>
        <v/>
      </c>
      <c r="M116" s="27" t="str">
        <f aca="false">IF(A116="","",IF(C116="Wise Makers",F116,0))</f>
        <v/>
      </c>
    </row>
    <row r="117" customFormat="false" ht="15" hidden="false" customHeight="false" outlineLevel="0" collapsed="false">
      <c r="A117" s="25"/>
      <c r="F117" s="27"/>
      <c r="H117" s="27"/>
      <c r="I117" s="27"/>
      <c r="J117" s="27" t="str">
        <f aca="false">IF(A117="","",IF(C117="Wise Makers",F117*MIN(IF(G117="",Parametros!$B$5,G117),Parametros!$B$4),H117))</f>
        <v/>
      </c>
      <c r="K117" s="27" t="str">
        <f aca="false">IF(A117="","",I117*IFERROR(INDEX(Parametros!$B$13:$B$15,MATCH(C117,Parametros!$A$13:$A$15,0)),0))</f>
        <v/>
      </c>
      <c r="L117" s="27" t="str">
        <f aca="false">IF(A117="","",I117*IFERROR(INDEX(Parametros!$C$13:$C$15,MATCH(C117,Parametros!$A$13:$A$15,0)),0))</f>
        <v/>
      </c>
      <c r="M117" s="27" t="str">
        <f aca="false">IF(A117="","",IF(C117="Wise Makers",F117,0))</f>
        <v/>
      </c>
    </row>
    <row r="118" customFormat="false" ht="15" hidden="false" customHeight="false" outlineLevel="0" collapsed="false">
      <c r="A118" s="25"/>
      <c r="F118" s="27"/>
      <c r="H118" s="27"/>
      <c r="I118" s="27"/>
      <c r="J118" s="27" t="str">
        <f aca="false">IF(A118="","",IF(C118="Wise Makers",F118*MIN(IF(G118="",Parametros!$B$5,G118),Parametros!$B$4),H118))</f>
        <v/>
      </c>
      <c r="K118" s="27" t="str">
        <f aca="false">IF(A118="","",I118*IFERROR(INDEX(Parametros!$B$13:$B$15,MATCH(C118,Parametros!$A$13:$A$15,0)),0))</f>
        <v/>
      </c>
      <c r="L118" s="27" t="str">
        <f aca="false">IF(A118="","",I118*IFERROR(INDEX(Parametros!$C$13:$C$15,MATCH(C118,Parametros!$A$13:$A$15,0)),0))</f>
        <v/>
      </c>
      <c r="M118" s="27" t="str">
        <f aca="false">IF(A118="","",IF(C118="Wise Makers",F118,0))</f>
        <v/>
      </c>
    </row>
    <row r="119" customFormat="false" ht="15" hidden="false" customHeight="false" outlineLevel="0" collapsed="false">
      <c r="A119" s="25"/>
      <c r="F119" s="27"/>
      <c r="H119" s="27"/>
      <c r="I119" s="27"/>
      <c r="J119" s="27" t="str">
        <f aca="false">IF(A119="","",IF(C119="Wise Makers",F119*MIN(IF(G119="",Parametros!$B$5,G119),Parametros!$B$4),H119))</f>
        <v/>
      </c>
      <c r="K119" s="27" t="str">
        <f aca="false">IF(A119="","",I119*IFERROR(INDEX(Parametros!$B$13:$B$15,MATCH(C119,Parametros!$A$13:$A$15,0)),0))</f>
        <v/>
      </c>
      <c r="L119" s="27" t="str">
        <f aca="false">IF(A119="","",I119*IFERROR(INDEX(Parametros!$C$13:$C$15,MATCH(C119,Parametros!$A$13:$A$15,0)),0))</f>
        <v/>
      </c>
      <c r="M119" s="27" t="str">
        <f aca="false">IF(A119="","",IF(C119="Wise Makers",F119,0))</f>
        <v/>
      </c>
    </row>
    <row r="120" customFormat="false" ht="15" hidden="false" customHeight="false" outlineLevel="0" collapsed="false">
      <c r="A120" s="25"/>
      <c r="F120" s="27"/>
      <c r="H120" s="27"/>
      <c r="I120" s="27"/>
      <c r="J120" s="27" t="str">
        <f aca="false">IF(A120="","",IF(C120="Wise Makers",F120*MIN(IF(G120="",Parametros!$B$5,G120),Parametros!$B$4),H120))</f>
        <v/>
      </c>
      <c r="K120" s="27" t="str">
        <f aca="false">IF(A120="","",I120*IFERROR(INDEX(Parametros!$B$13:$B$15,MATCH(C120,Parametros!$A$13:$A$15,0)),0))</f>
        <v/>
      </c>
      <c r="L120" s="27" t="str">
        <f aca="false">IF(A120="","",I120*IFERROR(INDEX(Parametros!$C$13:$C$15,MATCH(C120,Parametros!$A$13:$A$15,0)),0))</f>
        <v/>
      </c>
      <c r="M120" s="27" t="str">
        <f aca="false">IF(A120="","",IF(C120="Wise Makers",F120,0))</f>
        <v/>
      </c>
    </row>
    <row r="121" customFormat="false" ht="15" hidden="false" customHeight="false" outlineLevel="0" collapsed="false">
      <c r="A121" s="25"/>
      <c r="F121" s="27"/>
      <c r="H121" s="27"/>
      <c r="I121" s="27"/>
      <c r="J121" s="27" t="str">
        <f aca="false">IF(A121="","",IF(C121="Wise Makers",F121*MIN(IF(G121="",Parametros!$B$5,G121),Parametros!$B$4),H121))</f>
        <v/>
      </c>
      <c r="K121" s="27" t="str">
        <f aca="false">IF(A121="","",I121*IFERROR(INDEX(Parametros!$B$13:$B$15,MATCH(C121,Parametros!$A$13:$A$15,0)),0))</f>
        <v/>
      </c>
      <c r="L121" s="27" t="str">
        <f aca="false">IF(A121="","",I121*IFERROR(INDEX(Parametros!$C$13:$C$15,MATCH(C121,Parametros!$A$13:$A$15,0)),0))</f>
        <v/>
      </c>
      <c r="M121" s="27" t="str">
        <f aca="false">IF(A121="","",IF(C121="Wise Makers",F121,0))</f>
        <v/>
      </c>
    </row>
    <row r="122" customFormat="false" ht="15" hidden="false" customHeight="false" outlineLevel="0" collapsed="false">
      <c r="A122" s="25"/>
      <c r="F122" s="27"/>
      <c r="H122" s="27"/>
      <c r="I122" s="27"/>
      <c r="J122" s="27" t="str">
        <f aca="false">IF(A122="","",IF(C122="Wise Makers",F122*MIN(IF(G122="",Parametros!$B$5,G122),Parametros!$B$4),H122))</f>
        <v/>
      </c>
      <c r="K122" s="27" t="str">
        <f aca="false">IF(A122="","",I122*IFERROR(INDEX(Parametros!$B$13:$B$15,MATCH(C122,Parametros!$A$13:$A$15,0)),0))</f>
        <v/>
      </c>
      <c r="L122" s="27" t="str">
        <f aca="false">IF(A122="","",I122*IFERROR(INDEX(Parametros!$C$13:$C$15,MATCH(C122,Parametros!$A$13:$A$15,0)),0))</f>
        <v/>
      </c>
      <c r="M122" s="27" t="str">
        <f aca="false">IF(A122="","",IF(C122="Wise Makers",F122,0))</f>
        <v/>
      </c>
    </row>
    <row r="123" customFormat="false" ht="15" hidden="false" customHeight="false" outlineLevel="0" collapsed="false">
      <c r="A123" s="25"/>
      <c r="F123" s="27"/>
      <c r="H123" s="27"/>
      <c r="I123" s="27"/>
      <c r="J123" s="27" t="str">
        <f aca="false">IF(A123="","",IF(C123="Wise Makers",F123*MIN(IF(G123="",Parametros!$B$5,G123),Parametros!$B$4),H123))</f>
        <v/>
      </c>
      <c r="K123" s="27" t="str">
        <f aca="false">IF(A123="","",I123*IFERROR(INDEX(Parametros!$B$13:$B$15,MATCH(C123,Parametros!$A$13:$A$15,0)),0))</f>
        <v/>
      </c>
      <c r="L123" s="27" t="str">
        <f aca="false">IF(A123="","",I123*IFERROR(INDEX(Parametros!$C$13:$C$15,MATCH(C123,Parametros!$A$13:$A$15,0)),0))</f>
        <v/>
      </c>
      <c r="M123" s="27" t="str">
        <f aca="false">IF(A123="","",IF(C123="Wise Makers",F123,0))</f>
        <v/>
      </c>
    </row>
    <row r="124" customFormat="false" ht="15" hidden="false" customHeight="false" outlineLevel="0" collapsed="false">
      <c r="A124" s="25"/>
      <c r="F124" s="27"/>
      <c r="H124" s="27"/>
      <c r="I124" s="27"/>
      <c r="J124" s="27" t="str">
        <f aca="false">IF(A124="","",IF(C124="Wise Makers",F124*MIN(IF(G124="",Parametros!$B$5,G124),Parametros!$B$4),H124))</f>
        <v/>
      </c>
      <c r="K124" s="27" t="str">
        <f aca="false">IF(A124="","",I124*IFERROR(INDEX(Parametros!$B$13:$B$15,MATCH(C124,Parametros!$A$13:$A$15,0)),0))</f>
        <v/>
      </c>
      <c r="L124" s="27" t="str">
        <f aca="false">IF(A124="","",I124*IFERROR(INDEX(Parametros!$C$13:$C$15,MATCH(C124,Parametros!$A$13:$A$15,0)),0))</f>
        <v/>
      </c>
      <c r="M124" s="27" t="str">
        <f aca="false">IF(A124="","",IF(C124="Wise Makers",F124,0))</f>
        <v/>
      </c>
    </row>
    <row r="125" customFormat="false" ht="15" hidden="false" customHeight="false" outlineLevel="0" collapsed="false">
      <c r="A125" s="25"/>
      <c r="F125" s="27"/>
      <c r="H125" s="27"/>
      <c r="I125" s="27"/>
      <c r="J125" s="27" t="str">
        <f aca="false">IF(A125="","",IF(C125="Wise Makers",F125*MIN(IF(G125="",Parametros!$B$5,G125),Parametros!$B$4),H125))</f>
        <v/>
      </c>
      <c r="K125" s="27" t="str">
        <f aca="false">IF(A125="","",I125*IFERROR(INDEX(Parametros!$B$13:$B$15,MATCH(C125,Parametros!$A$13:$A$15,0)),0))</f>
        <v/>
      </c>
      <c r="L125" s="27" t="str">
        <f aca="false">IF(A125="","",I125*IFERROR(INDEX(Parametros!$C$13:$C$15,MATCH(C125,Parametros!$A$13:$A$15,0)),0))</f>
        <v/>
      </c>
      <c r="M125" s="27" t="str">
        <f aca="false">IF(A125="","",IF(C125="Wise Makers",F125,0))</f>
        <v/>
      </c>
    </row>
    <row r="126" customFormat="false" ht="15" hidden="false" customHeight="false" outlineLevel="0" collapsed="false">
      <c r="A126" s="25"/>
      <c r="F126" s="27"/>
      <c r="H126" s="27"/>
      <c r="I126" s="27"/>
      <c r="J126" s="27" t="str">
        <f aca="false">IF(A126="","",IF(C126="Wise Makers",F126*MIN(IF(G126="",Parametros!$B$5,G126),Parametros!$B$4),H126))</f>
        <v/>
      </c>
      <c r="K126" s="27" t="str">
        <f aca="false">IF(A126="","",I126*IFERROR(INDEX(Parametros!$B$13:$B$15,MATCH(C126,Parametros!$A$13:$A$15,0)),0))</f>
        <v/>
      </c>
      <c r="L126" s="27" t="str">
        <f aca="false">IF(A126="","",I126*IFERROR(INDEX(Parametros!$C$13:$C$15,MATCH(C126,Parametros!$A$13:$A$15,0)),0))</f>
        <v/>
      </c>
      <c r="M126" s="27" t="str">
        <f aca="false">IF(A126="","",IF(C126="Wise Makers",F126,0))</f>
        <v/>
      </c>
    </row>
    <row r="127" customFormat="false" ht="15" hidden="false" customHeight="false" outlineLevel="0" collapsed="false">
      <c r="A127" s="25"/>
      <c r="F127" s="27"/>
      <c r="H127" s="27"/>
      <c r="I127" s="27"/>
      <c r="J127" s="27" t="str">
        <f aca="false">IF(A127="","",IF(C127="Wise Makers",F127*MIN(IF(G127="",Parametros!$B$5,G127),Parametros!$B$4),H127))</f>
        <v/>
      </c>
      <c r="K127" s="27" t="str">
        <f aca="false">IF(A127="","",I127*IFERROR(INDEX(Parametros!$B$13:$B$15,MATCH(C127,Parametros!$A$13:$A$15,0)),0))</f>
        <v/>
      </c>
      <c r="L127" s="27" t="str">
        <f aca="false">IF(A127="","",I127*IFERROR(INDEX(Parametros!$C$13:$C$15,MATCH(C127,Parametros!$A$13:$A$15,0)),0))</f>
        <v/>
      </c>
      <c r="M127" s="27" t="str">
        <f aca="false">IF(A127="","",IF(C127="Wise Makers",F127,0))</f>
        <v/>
      </c>
    </row>
    <row r="128" customFormat="false" ht="15" hidden="false" customHeight="false" outlineLevel="0" collapsed="false">
      <c r="A128" s="25"/>
      <c r="F128" s="27"/>
      <c r="H128" s="27"/>
      <c r="I128" s="27"/>
      <c r="J128" s="27" t="str">
        <f aca="false">IF(A128="","",IF(C128="Wise Makers",F128*MIN(IF(G128="",Parametros!$B$5,G128),Parametros!$B$4),H128))</f>
        <v/>
      </c>
      <c r="K128" s="27" t="str">
        <f aca="false">IF(A128="","",I128*IFERROR(INDEX(Parametros!$B$13:$B$15,MATCH(C128,Parametros!$A$13:$A$15,0)),0))</f>
        <v/>
      </c>
      <c r="L128" s="27" t="str">
        <f aca="false">IF(A128="","",I128*IFERROR(INDEX(Parametros!$C$13:$C$15,MATCH(C128,Parametros!$A$13:$A$15,0)),0))</f>
        <v/>
      </c>
      <c r="M128" s="27" t="str">
        <f aca="false">IF(A128="","",IF(C128="Wise Makers",F128,0))</f>
        <v/>
      </c>
    </row>
    <row r="129" customFormat="false" ht="15" hidden="false" customHeight="false" outlineLevel="0" collapsed="false">
      <c r="A129" s="25"/>
      <c r="F129" s="27"/>
      <c r="H129" s="27"/>
      <c r="I129" s="27"/>
      <c r="J129" s="27" t="str">
        <f aca="false">IF(A129="","",IF(C129="Wise Makers",F129*MIN(IF(G129="",Parametros!$B$5,G129),Parametros!$B$4),H129))</f>
        <v/>
      </c>
      <c r="K129" s="27" t="str">
        <f aca="false">IF(A129="","",I129*IFERROR(INDEX(Parametros!$B$13:$B$15,MATCH(C129,Parametros!$A$13:$A$15,0)),0))</f>
        <v/>
      </c>
      <c r="L129" s="27" t="str">
        <f aca="false">IF(A129="","",I129*IFERROR(INDEX(Parametros!$C$13:$C$15,MATCH(C129,Parametros!$A$13:$A$15,0)),0))</f>
        <v/>
      </c>
      <c r="M129" s="27" t="str">
        <f aca="false">IF(A129="","",IF(C129="Wise Makers",F129,0))</f>
        <v/>
      </c>
    </row>
    <row r="130" customFormat="false" ht="15" hidden="false" customHeight="false" outlineLevel="0" collapsed="false">
      <c r="A130" s="25"/>
      <c r="F130" s="27"/>
      <c r="H130" s="27"/>
      <c r="I130" s="27"/>
      <c r="J130" s="27" t="str">
        <f aca="false">IF(A130="","",IF(C130="Wise Makers",F130*MIN(IF(G130="",Parametros!$B$5,G130),Parametros!$B$4),H130))</f>
        <v/>
      </c>
      <c r="K130" s="27" t="str">
        <f aca="false">IF(A130="","",I130*IFERROR(INDEX(Parametros!$B$13:$B$15,MATCH(C130,Parametros!$A$13:$A$15,0)),0))</f>
        <v/>
      </c>
      <c r="L130" s="27" t="str">
        <f aca="false">IF(A130="","",I130*IFERROR(INDEX(Parametros!$C$13:$C$15,MATCH(C130,Parametros!$A$13:$A$15,0)),0))</f>
        <v/>
      </c>
      <c r="M130" s="27" t="str">
        <f aca="false">IF(A130="","",IF(C130="Wise Makers",F130,0))</f>
        <v/>
      </c>
    </row>
    <row r="131" customFormat="false" ht="15" hidden="false" customHeight="false" outlineLevel="0" collapsed="false">
      <c r="A131" s="25"/>
      <c r="F131" s="27"/>
      <c r="H131" s="27"/>
      <c r="I131" s="27"/>
      <c r="J131" s="27" t="str">
        <f aca="false">IF(A131="","",IF(C131="Wise Makers",F131*MIN(IF(G131="",Parametros!$B$5,G131),Parametros!$B$4),H131))</f>
        <v/>
      </c>
      <c r="K131" s="27" t="str">
        <f aca="false">IF(A131="","",I131*IFERROR(INDEX(Parametros!$B$13:$B$15,MATCH(C131,Parametros!$A$13:$A$15,0)),0))</f>
        <v/>
      </c>
      <c r="L131" s="27" t="str">
        <f aca="false">IF(A131="","",I131*IFERROR(INDEX(Parametros!$C$13:$C$15,MATCH(C131,Parametros!$A$13:$A$15,0)),0))</f>
        <v/>
      </c>
      <c r="M131" s="27" t="str">
        <f aca="false">IF(A131="","",IF(C131="Wise Makers",F131,0))</f>
        <v/>
      </c>
    </row>
    <row r="132" customFormat="false" ht="15" hidden="false" customHeight="false" outlineLevel="0" collapsed="false">
      <c r="A132" s="25"/>
      <c r="F132" s="27"/>
      <c r="H132" s="27"/>
      <c r="I132" s="27"/>
      <c r="J132" s="27" t="str">
        <f aca="false">IF(A132="","",IF(C132="Wise Makers",F132*MIN(IF(G132="",Parametros!$B$5,G132),Parametros!$B$4),H132))</f>
        <v/>
      </c>
      <c r="K132" s="27" t="str">
        <f aca="false">IF(A132="","",I132*IFERROR(INDEX(Parametros!$B$13:$B$15,MATCH(C132,Parametros!$A$13:$A$15,0)),0))</f>
        <v/>
      </c>
      <c r="L132" s="27" t="str">
        <f aca="false">IF(A132="","",I132*IFERROR(INDEX(Parametros!$C$13:$C$15,MATCH(C132,Parametros!$A$13:$A$15,0)),0))</f>
        <v/>
      </c>
      <c r="M132" s="27" t="str">
        <f aca="false">IF(A132="","",IF(C132="Wise Makers",F132,0))</f>
        <v/>
      </c>
    </row>
    <row r="133" customFormat="false" ht="15" hidden="false" customHeight="false" outlineLevel="0" collapsed="false">
      <c r="A133" s="25"/>
      <c r="F133" s="27"/>
      <c r="H133" s="27"/>
      <c r="I133" s="27"/>
      <c r="J133" s="27" t="str">
        <f aca="false">IF(A133="","",IF(C133="Wise Makers",F133*MIN(IF(G133="",Parametros!$B$5,G133),Parametros!$B$4),H133))</f>
        <v/>
      </c>
      <c r="K133" s="27" t="str">
        <f aca="false">IF(A133="","",I133*IFERROR(INDEX(Parametros!$B$13:$B$15,MATCH(C133,Parametros!$A$13:$A$15,0)),0))</f>
        <v/>
      </c>
      <c r="L133" s="27" t="str">
        <f aca="false">IF(A133="","",I133*IFERROR(INDEX(Parametros!$C$13:$C$15,MATCH(C133,Parametros!$A$13:$A$15,0)),0))</f>
        <v/>
      </c>
      <c r="M133" s="27" t="str">
        <f aca="false">IF(A133="","",IF(C133="Wise Makers",F133,0))</f>
        <v/>
      </c>
    </row>
    <row r="134" customFormat="false" ht="15" hidden="false" customHeight="false" outlineLevel="0" collapsed="false">
      <c r="A134" s="25"/>
      <c r="F134" s="27"/>
      <c r="H134" s="27"/>
      <c r="I134" s="27"/>
      <c r="J134" s="27" t="str">
        <f aca="false">IF(A134="","",IF(C134="Wise Makers",F134*MIN(IF(G134="",Parametros!$B$5,G134),Parametros!$B$4),H134))</f>
        <v/>
      </c>
      <c r="K134" s="27" t="str">
        <f aca="false">IF(A134="","",I134*IFERROR(INDEX(Parametros!$B$13:$B$15,MATCH(C134,Parametros!$A$13:$A$15,0)),0))</f>
        <v/>
      </c>
      <c r="L134" s="27" t="str">
        <f aca="false">IF(A134="","",I134*IFERROR(INDEX(Parametros!$C$13:$C$15,MATCH(C134,Parametros!$A$13:$A$15,0)),0))</f>
        <v/>
      </c>
      <c r="M134" s="27" t="str">
        <f aca="false">IF(A134="","",IF(C134="Wise Makers",F134,0))</f>
        <v/>
      </c>
    </row>
    <row r="135" customFormat="false" ht="15" hidden="false" customHeight="false" outlineLevel="0" collapsed="false">
      <c r="A135" s="25"/>
      <c r="F135" s="27"/>
      <c r="H135" s="27"/>
      <c r="I135" s="27"/>
      <c r="J135" s="27" t="str">
        <f aca="false">IF(A135="","",IF(C135="Wise Makers",F135*MIN(IF(G135="",Parametros!$B$5,G135),Parametros!$B$4),H135))</f>
        <v/>
      </c>
      <c r="K135" s="27" t="str">
        <f aca="false">IF(A135="","",I135*IFERROR(INDEX(Parametros!$B$13:$B$15,MATCH(C135,Parametros!$A$13:$A$15,0)),0))</f>
        <v/>
      </c>
      <c r="L135" s="27" t="str">
        <f aca="false">IF(A135="","",I135*IFERROR(INDEX(Parametros!$C$13:$C$15,MATCH(C135,Parametros!$A$13:$A$15,0)),0))</f>
        <v/>
      </c>
      <c r="M135" s="27" t="str">
        <f aca="false">IF(A135="","",IF(C135="Wise Makers",F135,0))</f>
        <v/>
      </c>
    </row>
    <row r="136" customFormat="false" ht="15" hidden="false" customHeight="false" outlineLevel="0" collapsed="false">
      <c r="A136" s="25"/>
      <c r="F136" s="27"/>
      <c r="H136" s="27"/>
      <c r="I136" s="27"/>
      <c r="J136" s="27" t="str">
        <f aca="false">IF(A136="","",IF(C136="Wise Makers",F136*MIN(IF(G136="",Parametros!$B$5,G136),Parametros!$B$4),H136))</f>
        <v/>
      </c>
      <c r="K136" s="27" t="str">
        <f aca="false">IF(A136="","",I136*IFERROR(INDEX(Parametros!$B$13:$B$15,MATCH(C136,Parametros!$A$13:$A$15,0)),0))</f>
        <v/>
      </c>
      <c r="L136" s="27" t="str">
        <f aca="false">IF(A136="","",I136*IFERROR(INDEX(Parametros!$C$13:$C$15,MATCH(C136,Parametros!$A$13:$A$15,0)),0))</f>
        <v/>
      </c>
      <c r="M136" s="27" t="str">
        <f aca="false">IF(A136="","",IF(C136="Wise Makers",F136,0))</f>
        <v/>
      </c>
    </row>
    <row r="137" customFormat="false" ht="15" hidden="false" customHeight="false" outlineLevel="0" collapsed="false">
      <c r="A137" s="25"/>
      <c r="F137" s="27"/>
      <c r="H137" s="27"/>
      <c r="I137" s="27"/>
      <c r="J137" s="27" t="str">
        <f aca="false">IF(A137="","",IF(C137="Wise Makers",F137*MIN(IF(G137="",Parametros!$B$5,G137),Parametros!$B$4),H137))</f>
        <v/>
      </c>
      <c r="K137" s="27" t="str">
        <f aca="false">IF(A137="","",I137*IFERROR(INDEX(Parametros!$B$13:$B$15,MATCH(C137,Parametros!$A$13:$A$15,0)),0))</f>
        <v/>
      </c>
      <c r="L137" s="27" t="str">
        <f aca="false">IF(A137="","",I137*IFERROR(INDEX(Parametros!$C$13:$C$15,MATCH(C137,Parametros!$A$13:$A$15,0)),0))</f>
        <v/>
      </c>
      <c r="M137" s="27" t="str">
        <f aca="false">IF(A137="","",IF(C137="Wise Makers",F137,0))</f>
        <v/>
      </c>
    </row>
    <row r="138" customFormat="false" ht="15" hidden="false" customHeight="false" outlineLevel="0" collapsed="false">
      <c r="A138" s="25"/>
      <c r="F138" s="27"/>
      <c r="H138" s="27"/>
      <c r="I138" s="27"/>
      <c r="J138" s="27" t="str">
        <f aca="false">IF(A138="","",IF(C138="Wise Makers",F138*MIN(IF(G138="",Parametros!$B$5,G138),Parametros!$B$4),H138))</f>
        <v/>
      </c>
      <c r="K138" s="27" t="str">
        <f aca="false">IF(A138="","",I138*IFERROR(INDEX(Parametros!$B$13:$B$15,MATCH(C138,Parametros!$A$13:$A$15,0)),0))</f>
        <v/>
      </c>
      <c r="L138" s="27" t="str">
        <f aca="false">IF(A138="","",I138*IFERROR(INDEX(Parametros!$C$13:$C$15,MATCH(C138,Parametros!$A$13:$A$15,0)),0))</f>
        <v/>
      </c>
      <c r="M138" s="27" t="str">
        <f aca="false">IF(A138="","",IF(C138="Wise Makers",F138,0))</f>
        <v/>
      </c>
    </row>
    <row r="139" customFormat="false" ht="15" hidden="false" customHeight="false" outlineLevel="0" collapsed="false">
      <c r="A139" s="25"/>
      <c r="F139" s="27"/>
      <c r="H139" s="27"/>
      <c r="I139" s="27"/>
      <c r="J139" s="27" t="str">
        <f aca="false">IF(A139="","",IF(C139="Wise Makers",F139*MIN(IF(G139="",Parametros!$B$5,G139),Parametros!$B$4),H139))</f>
        <v/>
      </c>
      <c r="K139" s="27" t="str">
        <f aca="false">IF(A139="","",I139*IFERROR(INDEX(Parametros!$B$13:$B$15,MATCH(C139,Parametros!$A$13:$A$15,0)),0))</f>
        <v/>
      </c>
      <c r="L139" s="27" t="str">
        <f aca="false">IF(A139="","",I139*IFERROR(INDEX(Parametros!$C$13:$C$15,MATCH(C139,Parametros!$A$13:$A$15,0)),0))</f>
        <v/>
      </c>
      <c r="M139" s="27" t="str">
        <f aca="false">IF(A139="","",IF(C139="Wise Makers",F139,0))</f>
        <v/>
      </c>
    </row>
    <row r="140" customFormat="false" ht="15" hidden="false" customHeight="false" outlineLevel="0" collapsed="false">
      <c r="A140" s="25"/>
      <c r="F140" s="27"/>
      <c r="H140" s="27"/>
      <c r="I140" s="27"/>
      <c r="J140" s="27" t="str">
        <f aca="false">IF(A140="","",IF(C140="Wise Makers",F140*MIN(IF(G140="",Parametros!$B$5,G140),Parametros!$B$4),H140))</f>
        <v/>
      </c>
      <c r="K140" s="27" t="str">
        <f aca="false">IF(A140="","",I140*IFERROR(INDEX(Parametros!$B$13:$B$15,MATCH(C140,Parametros!$A$13:$A$15,0)),0))</f>
        <v/>
      </c>
      <c r="L140" s="27" t="str">
        <f aca="false">IF(A140="","",I140*IFERROR(INDEX(Parametros!$C$13:$C$15,MATCH(C140,Parametros!$A$13:$A$15,0)),0))</f>
        <v/>
      </c>
      <c r="M140" s="27" t="str">
        <f aca="false">IF(A140="","",IF(C140="Wise Makers",F140,0))</f>
        <v/>
      </c>
    </row>
    <row r="141" customFormat="false" ht="15" hidden="false" customHeight="false" outlineLevel="0" collapsed="false">
      <c r="A141" s="25"/>
      <c r="F141" s="27"/>
      <c r="H141" s="27"/>
      <c r="I141" s="27"/>
      <c r="J141" s="27" t="str">
        <f aca="false">IF(A141="","",IF(C141="Wise Makers",F141*MIN(IF(G141="",Parametros!$B$5,G141),Parametros!$B$4),H141))</f>
        <v/>
      </c>
      <c r="K141" s="27" t="str">
        <f aca="false">IF(A141="","",I141*IFERROR(INDEX(Parametros!$B$13:$B$15,MATCH(C141,Parametros!$A$13:$A$15,0)),0))</f>
        <v/>
      </c>
      <c r="L141" s="27" t="str">
        <f aca="false">IF(A141="","",I141*IFERROR(INDEX(Parametros!$C$13:$C$15,MATCH(C141,Parametros!$A$13:$A$15,0)),0))</f>
        <v/>
      </c>
      <c r="M141" s="27" t="str">
        <f aca="false">IF(A141="","",IF(C141="Wise Makers",F141,0))</f>
        <v/>
      </c>
    </row>
    <row r="142" customFormat="false" ht="15" hidden="false" customHeight="false" outlineLevel="0" collapsed="false">
      <c r="A142" s="25"/>
      <c r="F142" s="27"/>
      <c r="H142" s="27"/>
      <c r="I142" s="27"/>
      <c r="J142" s="27" t="str">
        <f aca="false">IF(A142="","",IF(C142="Wise Makers",F142*MIN(IF(G142="",Parametros!$B$5,G142),Parametros!$B$4),H142))</f>
        <v/>
      </c>
      <c r="K142" s="27" t="str">
        <f aca="false">IF(A142="","",I142*IFERROR(INDEX(Parametros!$B$13:$B$15,MATCH(C142,Parametros!$A$13:$A$15,0)),0))</f>
        <v/>
      </c>
      <c r="L142" s="27" t="str">
        <f aca="false">IF(A142="","",I142*IFERROR(INDEX(Parametros!$C$13:$C$15,MATCH(C142,Parametros!$A$13:$A$15,0)),0))</f>
        <v/>
      </c>
      <c r="M142" s="27" t="str">
        <f aca="false">IF(A142="","",IF(C142="Wise Makers",F142,0))</f>
        <v/>
      </c>
    </row>
    <row r="143" customFormat="false" ht="15" hidden="false" customHeight="false" outlineLevel="0" collapsed="false">
      <c r="A143" s="25"/>
      <c r="F143" s="27"/>
      <c r="H143" s="27"/>
      <c r="I143" s="27"/>
      <c r="J143" s="27" t="str">
        <f aca="false">IF(A143="","",IF(C143="Wise Makers",F143*MIN(IF(G143="",Parametros!$B$5,G143),Parametros!$B$4),H143))</f>
        <v/>
      </c>
      <c r="K143" s="27" t="str">
        <f aca="false">IF(A143="","",I143*IFERROR(INDEX(Parametros!$B$13:$B$15,MATCH(C143,Parametros!$A$13:$A$15,0)),0))</f>
        <v/>
      </c>
      <c r="L143" s="27" t="str">
        <f aca="false">IF(A143="","",I143*IFERROR(INDEX(Parametros!$C$13:$C$15,MATCH(C143,Parametros!$A$13:$A$15,0)),0))</f>
        <v/>
      </c>
      <c r="M143" s="27" t="str">
        <f aca="false">IF(A143="","",IF(C143="Wise Makers",F143,0))</f>
        <v/>
      </c>
    </row>
    <row r="144" customFormat="false" ht="15" hidden="false" customHeight="false" outlineLevel="0" collapsed="false">
      <c r="A144" s="25"/>
      <c r="F144" s="27"/>
      <c r="H144" s="27"/>
      <c r="I144" s="27"/>
      <c r="J144" s="27" t="str">
        <f aca="false">IF(A144="","",IF(C144="Wise Makers",F144*MIN(IF(G144="",Parametros!$B$5,G144),Parametros!$B$4),H144))</f>
        <v/>
      </c>
      <c r="K144" s="27" t="str">
        <f aca="false">IF(A144="","",I144*IFERROR(INDEX(Parametros!$B$13:$B$15,MATCH(C144,Parametros!$A$13:$A$15,0)),0))</f>
        <v/>
      </c>
      <c r="L144" s="27" t="str">
        <f aca="false">IF(A144="","",I144*IFERROR(INDEX(Parametros!$C$13:$C$15,MATCH(C144,Parametros!$A$13:$A$15,0)),0))</f>
        <v/>
      </c>
      <c r="M144" s="27" t="str">
        <f aca="false">IF(A144="","",IF(C144="Wise Makers",F144,0))</f>
        <v/>
      </c>
    </row>
    <row r="145" customFormat="false" ht="15" hidden="false" customHeight="false" outlineLevel="0" collapsed="false">
      <c r="A145" s="25"/>
      <c r="F145" s="27"/>
      <c r="H145" s="27"/>
      <c r="I145" s="27"/>
      <c r="J145" s="27" t="str">
        <f aca="false">IF(A145="","",IF(C145="Wise Makers",F145*MIN(IF(G145="",Parametros!$B$5,G145),Parametros!$B$4),H145))</f>
        <v/>
      </c>
      <c r="K145" s="27" t="str">
        <f aca="false">IF(A145="","",I145*IFERROR(INDEX(Parametros!$B$13:$B$15,MATCH(C145,Parametros!$A$13:$A$15,0)),0))</f>
        <v/>
      </c>
      <c r="L145" s="27" t="str">
        <f aca="false">IF(A145="","",I145*IFERROR(INDEX(Parametros!$C$13:$C$15,MATCH(C145,Parametros!$A$13:$A$15,0)),0))</f>
        <v/>
      </c>
      <c r="M145" s="27" t="str">
        <f aca="false">IF(A145="","",IF(C145="Wise Makers",F145,0))</f>
        <v/>
      </c>
    </row>
    <row r="146" customFormat="false" ht="15" hidden="false" customHeight="false" outlineLevel="0" collapsed="false">
      <c r="A146" s="25"/>
      <c r="F146" s="27"/>
      <c r="H146" s="27"/>
      <c r="I146" s="27"/>
      <c r="J146" s="27" t="str">
        <f aca="false">IF(A146="","",IF(C146="Wise Makers",F146*MIN(IF(G146="",Parametros!$B$5,G146),Parametros!$B$4),H146))</f>
        <v/>
      </c>
      <c r="K146" s="27" t="str">
        <f aca="false">IF(A146="","",I146*IFERROR(INDEX(Parametros!$B$13:$B$15,MATCH(C146,Parametros!$A$13:$A$15,0)),0))</f>
        <v/>
      </c>
      <c r="L146" s="27" t="str">
        <f aca="false">IF(A146="","",I146*IFERROR(INDEX(Parametros!$C$13:$C$15,MATCH(C146,Parametros!$A$13:$A$15,0)),0))</f>
        <v/>
      </c>
      <c r="M146" s="27" t="str">
        <f aca="false">IF(A146="","",IF(C146="Wise Makers",F146,0))</f>
        <v/>
      </c>
    </row>
    <row r="147" customFormat="false" ht="15" hidden="false" customHeight="false" outlineLevel="0" collapsed="false">
      <c r="A147" s="25"/>
      <c r="F147" s="27"/>
      <c r="H147" s="27"/>
      <c r="I147" s="27"/>
      <c r="J147" s="27" t="str">
        <f aca="false">IF(A147="","",IF(C147="Wise Makers",F147*MIN(IF(G147="",Parametros!$B$5,G147),Parametros!$B$4),H147))</f>
        <v/>
      </c>
      <c r="K147" s="27" t="str">
        <f aca="false">IF(A147="","",I147*IFERROR(INDEX(Parametros!$B$13:$B$15,MATCH(C147,Parametros!$A$13:$A$15,0)),0))</f>
        <v/>
      </c>
      <c r="L147" s="27" t="str">
        <f aca="false">IF(A147="","",I147*IFERROR(INDEX(Parametros!$C$13:$C$15,MATCH(C147,Parametros!$A$13:$A$15,0)),0))</f>
        <v/>
      </c>
      <c r="M147" s="27" t="str">
        <f aca="false">IF(A147="","",IF(C147="Wise Makers",F147,0))</f>
        <v/>
      </c>
    </row>
    <row r="148" customFormat="false" ht="15" hidden="false" customHeight="false" outlineLevel="0" collapsed="false">
      <c r="A148" s="25"/>
      <c r="F148" s="27"/>
      <c r="H148" s="27"/>
      <c r="I148" s="27"/>
      <c r="J148" s="27" t="str">
        <f aca="false">IF(A148="","",IF(C148="Wise Makers",F148*MIN(IF(G148="",Parametros!$B$5,G148),Parametros!$B$4),H148))</f>
        <v/>
      </c>
      <c r="K148" s="27" t="str">
        <f aca="false">IF(A148="","",I148*IFERROR(INDEX(Parametros!$B$13:$B$15,MATCH(C148,Parametros!$A$13:$A$15,0)),0))</f>
        <v/>
      </c>
      <c r="L148" s="27" t="str">
        <f aca="false">IF(A148="","",I148*IFERROR(INDEX(Parametros!$C$13:$C$15,MATCH(C148,Parametros!$A$13:$A$15,0)),0))</f>
        <v/>
      </c>
      <c r="M148" s="27" t="str">
        <f aca="false">IF(A148="","",IF(C148="Wise Makers",F148,0))</f>
        <v/>
      </c>
    </row>
    <row r="149" customFormat="false" ht="15" hidden="false" customHeight="false" outlineLevel="0" collapsed="false">
      <c r="A149" s="25"/>
      <c r="F149" s="27"/>
      <c r="H149" s="27"/>
      <c r="I149" s="27"/>
      <c r="J149" s="27" t="str">
        <f aca="false">IF(A149="","",IF(C149="Wise Makers",F149*MIN(IF(G149="",Parametros!$B$5,G149),Parametros!$B$4),H149))</f>
        <v/>
      </c>
      <c r="K149" s="27" t="str">
        <f aca="false">IF(A149="","",I149*IFERROR(INDEX(Parametros!$B$13:$B$15,MATCH(C149,Parametros!$A$13:$A$15,0)),0))</f>
        <v/>
      </c>
      <c r="L149" s="27" t="str">
        <f aca="false">IF(A149="","",I149*IFERROR(INDEX(Parametros!$C$13:$C$15,MATCH(C149,Parametros!$A$13:$A$15,0)),0))</f>
        <v/>
      </c>
      <c r="M149" s="27" t="str">
        <f aca="false">IF(A149="","",IF(C149="Wise Makers",F149,0))</f>
        <v/>
      </c>
    </row>
    <row r="150" customFormat="false" ht="15" hidden="false" customHeight="false" outlineLevel="0" collapsed="false">
      <c r="A150" s="25"/>
      <c r="F150" s="27"/>
      <c r="H150" s="27"/>
      <c r="I150" s="27"/>
      <c r="J150" s="27" t="str">
        <f aca="false">IF(A150="","",IF(C150="Wise Makers",F150*MIN(IF(G150="",Parametros!$B$5,G150),Parametros!$B$4),H150))</f>
        <v/>
      </c>
      <c r="K150" s="27" t="str">
        <f aca="false">IF(A150="","",I150*IFERROR(INDEX(Parametros!$B$13:$B$15,MATCH(C150,Parametros!$A$13:$A$15,0)),0))</f>
        <v/>
      </c>
      <c r="L150" s="27" t="str">
        <f aca="false">IF(A150="","",I150*IFERROR(INDEX(Parametros!$C$13:$C$15,MATCH(C150,Parametros!$A$13:$A$15,0)),0))</f>
        <v/>
      </c>
      <c r="M150" s="27" t="str">
        <f aca="false">IF(A150="","",IF(C150="Wise Makers",F150,0))</f>
        <v/>
      </c>
    </row>
    <row r="151" customFormat="false" ht="15" hidden="false" customHeight="false" outlineLevel="0" collapsed="false">
      <c r="A151" s="25"/>
      <c r="F151" s="27"/>
      <c r="H151" s="27"/>
      <c r="I151" s="27"/>
      <c r="J151" s="27" t="str">
        <f aca="false">IF(A151="","",IF(C151="Wise Makers",F151*MIN(IF(G151="",Parametros!$B$5,G151),Parametros!$B$4),H151))</f>
        <v/>
      </c>
      <c r="K151" s="27" t="str">
        <f aca="false">IF(A151="","",I151*IFERROR(INDEX(Parametros!$B$13:$B$15,MATCH(C151,Parametros!$A$13:$A$15,0)),0))</f>
        <v/>
      </c>
      <c r="L151" s="27" t="str">
        <f aca="false">IF(A151="","",I151*IFERROR(INDEX(Parametros!$C$13:$C$15,MATCH(C151,Parametros!$A$13:$A$15,0)),0))</f>
        <v/>
      </c>
      <c r="M151" s="27" t="str">
        <f aca="false">IF(A151="","",IF(C151="Wise Makers",F151,0))</f>
        <v/>
      </c>
    </row>
    <row r="152" customFormat="false" ht="15" hidden="false" customHeight="false" outlineLevel="0" collapsed="false">
      <c r="A152" s="25"/>
      <c r="F152" s="27"/>
      <c r="H152" s="27"/>
      <c r="I152" s="27"/>
      <c r="J152" s="27" t="str">
        <f aca="false">IF(A152="","",IF(C152="Wise Makers",F152*MIN(IF(G152="",Parametros!$B$5,G152),Parametros!$B$4),H152))</f>
        <v/>
      </c>
      <c r="K152" s="27" t="str">
        <f aca="false">IF(A152="","",I152*IFERROR(INDEX(Parametros!$B$13:$B$15,MATCH(C152,Parametros!$A$13:$A$15,0)),0))</f>
        <v/>
      </c>
      <c r="L152" s="27" t="str">
        <f aca="false">IF(A152="","",I152*IFERROR(INDEX(Parametros!$C$13:$C$15,MATCH(C152,Parametros!$A$13:$A$15,0)),0))</f>
        <v/>
      </c>
      <c r="M152" s="27" t="str">
        <f aca="false">IF(A152="","",IF(C152="Wise Makers",F152,0))</f>
        <v/>
      </c>
    </row>
    <row r="153" customFormat="false" ht="15" hidden="false" customHeight="false" outlineLevel="0" collapsed="false">
      <c r="A153" s="25"/>
      <c r="F153" s="27"/>
      <c r="H153" s="27"/>
      <c r="I153" s="27"/>
      <c r="J153" s="27" t="str">
        <f aca="false">IF(A153="","",IF(C153="Wise Makers",F153*MIN(IF(G153="",Parametros!$B$5,G153),Parametros!$B$4),H153))</f>
        <v/>
      </c>
      <c r="K153" s="27" t="str">
        <f aca="false">IF(A153="","",I153*IFERROR(INDEX(Parametros!$B$13:$B$15,MATCH(C153,Parametros!$A$13:$A$15,0)),0))</f>
        <v/>
      </c>
      <c r="L153" s="27" t="str">
        <f aca="false">IF(A153="","",I153*IFERROR(INDEX(Parametros!$C$13:$C$15,MATCH(C153,Parametros!$A$13:$A$15,0)),0))</f>
        <v/>
      </c>
      <c r="M153" s="27" t="str">
        <f aca="false">IF(A153="","",IF(C153="Wise Makers",F153,0))</f>
        <v/>
      </c>
    </row>
    <row r="154" customFormat="false" ht="15" hidden="false" customHeight="false" outlineLevel="0" collapsed="false">
      <c r="A154" s="25"/>
      <c r="F154" s="27"/>
      <c r="H154" s="27"/>
      <c r="I154" s="27"/>
      <c r="J154" s="27" t="str">
        <f aca="false">IF(A154="","",IF(C154="Wise Makers",F154*MIN(IF(G154="",Parametros!$B$5,G154),Parametros!$B$4),H154))</f>
        <v/>
      </c>
      <c r="K154" s="27" t="str">
        <f aca="false">IF(A154="","",I154*IFERROR(INDEX(Parametros!$B$13:$B$15,MATCH(C154,Parametros!$A$13:$A$15,0)),0))</f>
        <v/>
      </c>
      <c r="L154" s="27" t="str">
        <f aca="false">IF(A154="","",I154*IFERROR(INDEX(Parametros!$C$13:$C$15,MATCH(C154,Parametros!$A$13:$A$15,0)),0))</f>
        <v/>
      </c>
      <c r="M154" s="27" t="str">
        <f aca="false">IF(A154="","",IF(C154="Wise Makers",F154,0))</f>
        <v/>
      </c>
    </row>
    <row r="155" customFormat="false" ht="15" hidden="false" customHeight="false" outlineLevel="0" collapsed="false">
      <c r="A155" s="25"/>
      <c r="F155" s="27"/>
      <c r="H155" s="27"/>
      <c r="I155" s="27"/>
      <c r="J155" s="27" t="str">
        <f aca="false">IF(A155="","",IF(C155="Wise Makers",F155*MIN(IF(G155="",Parametros!$B$5,G155),Parametros!$B$4),H155))</f>
        <v/>
      </c>
      <c r="K155" s="27" t="str">
        <f aca="false">IF(A155="","",I155*IFERROR(INDEX(Parametros!$B$13:$B$15,MATCH(C155,Parametros!$A$13:$A$15,0)),0))</f>
        <v/>
      </c>
      <c r="L155" s="27" t="str">
        <f aca="false">IF(A155="","",I155*IFERROR(INDEX(Parametros!$C$13:$C$15,MATCH(C155,Parametros!$A$13:$A$15,0)),0))</f>
        <v/>
      </c>
      <c r="M155" s="27" t="str">
        <f aca="false">IF(A155="","",IF(C155="Wise Makers",F155,0))</f>
        <v/>
      </c>
    </row>
    <row r="156" customFormat="false" ht="15" hidden="false" customHeight="false" outlineLevel="0" collapsed="false">
      <c r="A156" s="25"/>
      <c r="F156" s="27"/>
      <c r="H156" s="27"/>
      <c r="I156" s="27"/>
      <c r="J156" s="27" t="str">
        <f aca="false">IF(A156="","",IF(C156="Wise Makers",F156*MIN(IF(G156="",Parametros!$B$5,G156),Parametros!$B$4),H156))</f>
        <v/>
      </c>
      <c r="K156" s="27" t="str">
        <f aca="false">IF(A156="","",I156*IFERROR(INDEX(Parametros!$B$13:$B$15,MATCH(C156,Parametros!$A$13:$A$15,0)),0))</f>
        <v/>
      </c>
      <c r="L156" s="27" t="str">
        <f aca="false">IF(A156="","",I156*IFERROR(INDEX(Parametros!$C$13:$C$15,MATCH(C156,Parametros!$A$13:$A$15,0)),0))</f>
        <v/>
      </c>
      <c r="M156" s="27" t="str">
        <f aca="false">IF(A156="","",IF(C156="Wise Makers",F156,0))</f>
        <v/>
      </c>
    </row>
    <row r="157" customFormat="false" ht="15" hidden="false" customHeight="false" outlineLevel="0" collapsed="false">
      <c r="A157" s="25"/>
      <c r="F157" s="27"/>
      <c r="H157" s="27"/>
      <c r="I157" s="27"/>
      <c r="J157" s="27" t="str">
        <f aca="false">IF(A157="","",IF(C157="Wise Makers",F157*MIN(IF(G157="",Parametros!$B$5,G157),Parametros!$B$4),H157))</f>
        <v/>
      </c>
      <c r="K157" s="27" t="str">
        <f aca="false">IF(A157="","",I157*IFERROR(INDEX(Parametros!$B$13:$B$15,MATCH(C157,Parametros!$A$13:$A$15,0)),0))</f>
        <v/>
      </c>
      <c r="L157" s="27" t="str">
        <f aca="false">IF(A157="","",I157*IFERROR(INDEX(Parametros!$C$13:$C$15,MATCH(C157,Parametros!$A$13:$A$15,0)),0))</f>
        <v/>
      </c>
      <c r="M157" s="27" t="str">
        <f aca="false">IF(A157="","",IF(C157="Wise Makers",F157,0))</f>
        <v/>
      </c>
    </row>
    <row r="158" customFormat="false" ht="15" hidden="false" customHeight="false" outlineLevel="0" collapsed="false">
      <c r="A158" s="25"/>
      <c r="F158" s="27"/>
      <c r="H158" s="27"/>
      <c r="I158" s="27"/>
      <c r="J158" s="27" t="str">
        <f aca="false">IF(A158="","",IF(C158="Wise Makers",F158*MIN(IF(G158="",Parametros!$B$5,G158),Parametros!$B$4),H158))</f>
        <v/>
      </c>
      <c r="K158" s="27" t="str">
        <f aca="false">IF(A158="","",I158*IFERROR(INDEX(Parametros!$B$13:$B$15,MATCH(C158,Parametros!$A$13:$A$15,0)),0))</f>
        <v/>
      </c>
      <c r="L158" s="27" t="str">
        <f aca="false">IF(A158="","",I158*IFERROR(INDEX(Parametros!$C$13:$C$15,MATCH(C158,Parametros!$A$13:$A$15,0)),0))</f>
        <v/>
      </c>
      <c r="M158" s="27" t="str">
        <f aca="false">IF(A158="","",IF(C158="Wise Makers",F158,0))</f>
        <v/>
      </c>
    </row>
    <row r="159" customFormat="false" ht="15" hidden="false" customHeight="false" outlineLevel="0" collapsed="false">
      <c r="A159" s="25"/>
      <c r="F159" s="27"/>
      <c r="H159" s="27"/>
      <c r="I159" s="27"/>
      <c r="J159" s="27" t="str">
        <f aca="false">IF(A159="","",IF(C159="Wise Makers",F159*MIN(IF(G159="",Parametros!$B$5,G159),Parametros!$B$4),H159))</f>
        <v/>
      </c>
      <c r="K159" s="27" t="str">
        <f aca="false">IF(A159="","",I159*IFERROR(INDEX(Parametros!$B$13:$B$15,MATCH(C159,Parametros!$A$13:$A$15,0)),0))</f>
        <v/>
      </c>
      <c r="L159" s="27" t="str">
        <f aca="false">IF(A159="","",I159*IFERROR(INDEX(Parametros!$C$13:$C$15,MATCH(C159,Parametros!$A$13:$A$15,0)),0))</f>
        <v/>
      </c>
      <c r="M159" s="27" t="str">
        <f aca="false">IF(A159="","",IF(C159="Wise Makers",F159,0))</f>
        <v/>
      </c>
    </row>
    <row r="160" customFormat="false" ht="15" hidden="false" customHeight="false" outlineLevel="0" collapsed="false">
      <c r="A160" s="25"/>
      <c r="F160" s="27"/>
      <c r="H160" s="27"/>
      <c r="I160" s="27"/>
      <c r="J160" s="27" t="str">
        <f aca="false">IF(A160="","",IF(C160="Wise Makers",F160*MIN(IF(G160="",Parametros!$B$5,G160),Parametros!$B$4),H160))</f>
        <v/>
      </c>
      <c r="K160" s="27" t="str">
        <f aca="false">IF(A160="","",I160*IFERROR(INDEX(Parametros!$B$13:$B$15,MATCH(C160,Parametros!$A$13:$A$15,0)),0))</f>
        <v/>
      </c>
      <c r="L160" s="27" t="str">
        <f aca="false">IF(A160="","",I160*IFERROR(INDEX(Parametros!$C$13:$C$15,MATCH(C160,Parametros!$A$13:$A$15,0)),0))</f>
        <v/>
      </c>
      <c r="M160" s="27" t="str">
        <f aca="false">IF(A160="","",IF(C160="Wise Makers",F160,0))</f>
        <v/>
      </c>
    </row>
    <row r="161" customFormat="false" ht="15" hidden="false" customHeight="false" outlineLevel="0" collapsed="false">
      <c r="A161" s="25"/>
      <c r="F161" s="27"/>
      <c r="H161" s="27"/>
      <c r="I161" s="27"/>
      <c r="J161" s="27" t="str">
        <f aca="false">IF(A161="","",IF(C161="Wise Makers",F161*MIN(IF(G161="",Parametros!$B$5,G161),Parametros!$B$4),H161))</f>
        <v/>
      </c>
      <c r="K161" s="27" t="str">
        <f aca="false">IF(A161="","",I161*IFERROR(INDEX(Parametros!$B$13:$B$15,MATCH(C161,Parametros!$A$13:$A$15,0)),0))</f>
        <v/>
      </c>
      <c r="L161" s="27" t="str">
        <f aca="false">IF(A161="","",I161*IFERROR(INDEX(Parametros!$C$13:$C$15,MATCH(C161,Parametros!$A$13:$A$15,0)),0))</f>
        <v/>
      </c>
      <c r="M161" s="27" t="str">
        <f aca="false">IF(A161="","",IF(C161="Wise Makers",F161,0))</f>
        <v/>
      </c>
    </row>
    <row r="162" customFormat="false" ht="15" hidden="false" customHeight="false" outlineLevel="0" collapsed="false">
      <c r="A162" s="25"/>
      <c r="F162" s="27"/>
      <c r="H162" s="27"/>
      <c r="I162" s="27"/>
      <c r="J162" s="27" t="str">
        <f aca="false">IF(A162="","",IF(C162="Wise Makers",F162*MIN(IF(G162="",Parametros!$B$5,G162),Parametros!$B$4),H162))</f>
        <v/>
      </c>
      <c r="K162" s="27" t="str">
        <f aca="false">IF(A162="","",I162*IFERROR(INDEX(Parametros!$B$13:$B$15,MATCH(C162,Parametros!$A$13:$A$15,0)),0))</f>
        <v/>
      </c>
      <c r="L162" s="27" t="str">
        <f aca="false">IF(A162="","",I162*IFERROR(INDEX(Parametros!$C$13:$C$15,MATCH(C162,Parametros!$A$13:$A$15,0)),0))</f>
        <v/>
      </c>
      <c r="M162" s="27" t="str">
        <f aca="false">IF(A162="","",IF(C162="Wise Makers",F162,0))</f>
        <v/>
      </c>
    </row>
    <row r="163" customFormat="false" ht="15" hidden="false" customHeight="false" outlineLevel="0" collapsed="false">
      <c r="A163" s="25"/>
      <c r="F163" s="27"/>
      <c r="H163" s="27"/>
      <c r="I163" s="27"/>
      <c r="J163" s="27" t="str">
        <f aca="false">IF(A163="","",IF(C163="Wise Makers",F163*MIN(IF(G163="",Parametros!$B$5,G163),Parametros!$B$4),H163))</f>
        <v/>
      </c>
      <c r="K163" s="27" t="str">
        <f aca="false">IF(A163="","",I163*IFERROR(INDEX(Parametros!$B$13:$B$15,MATCH(C163,Parametros!$A$13:$A$15,0)),0))</f>
        <v/>
      </c>
      <c r="L163" s="27" t="str">
        <f aca="false">IF(A163="","",I163*IFERROR(INDEX(Parametros!$C$13:$C$15,MATCH(C163,Parametros!$A$13:$A$15,0)),0))</f>
        <v/>
      </c>
      <c r="M163" s="27" t="str">
        <f aca="false">IF(A163="","",IF(C163="Wise Makers",F163,0))</f>
        <v/>
      </c>
    </row>
    <row r="164" customFormat="false" ht="15" hidden="false" customHeight="false" outlineLevel="0" collapsed="false">
      <c r="A164" s="25"/>
      <c r="F164" s="27"/>
      <c r="H164" s="27"/>
      <c r="I164" s="27"/>
      <c r="J164" s="27" t="str">
        <f aca="false">IF(A164="","",IF(C164="Wise Makers",F164*MIN(IF(G164="",Parametros!$B$5,G164),Parametros!$B$4),H164))</f>
        <v/>
      </c>
      <c r="K164" s="27" t="str">
        <f aca="false">IF(A164="","",I164*IFERROR(INDEX(Parametros!$B$13:$B$15,MATCH(C164,Parametros!$A$13:$A$15,0)),0))</f>
        <v/>
      </c>
      <c r="L164" s="27" t="str">
        <f aca="false">IF(A164="","",I164*IFERROR(INDEX(Parametros!$C$13:$C$15,MATCH(C164,Parametros!$A$13:$A$15,0)),0))</f>
        <v/>
      </c>
      <c r="M164" s="27" t="str">
        <f aca="false">IF(A164="","",IF(C164="Wise Makers",F164,0))</f>
        <v/>
      </c>
    </row>
    <row r="165" customFormat="false" ht="15" hidden="false" customHeight="false" outlineLevel="0" collapsed="false">
      <c r="A165" s="25"/>
      <c r="F165" s="27"/>
      <c r="H165" s="27"/>
      <c r="I165" s="27"/>
      <c r="J165" s="27" t="str">
        <f aca="false">IF(A165="","",IF(C165="Wise Makers",F165*MIN(IF(G165="",Parametros!$B$5,G165),Parametros!$B$4),H165))</f>
        <v/>
      </c>
      <c r="K165" s="27" t="str">
        <f aca="false">IF(A165="","",I165*IFERROR(INDEX(Parametros!$B$13:$B$15,MATCH(C165,Parametros!$A$13:$A$15,0)),0))</f>
        <v/>
      </c>
      <c r="L165" s="27" t="str">
        <f aca="false">IF(A165="","",I165*IFERROR(INDEX(Parametros!$C$13:$C$15,MATCH(C165,Parametros!$A$13:$A$15,0)),0))</f>
        <v/>
      </c>
      <c r="M165" s="27" t="str">
        <f aca="false">IF(A165="","",IF(C165="Wise Makers",F165,0))</f>
        <v/>
      </c>
    </row>
    <row r="166" customFormat="false" ht="15" hidden="false" customHeight="false" outlineLevel="0" collapsed="false">
      <c r="A166" s="25"/>
      <c r="F166" s="27"/>
      <c r="H166" s="27"/>
      <c r="I166" s="27"/>
      <c r="J166" s="27" t="str">
        <f aca="false">IF(A166="","",IF(C166="Wise Makers",F166*MIN(IF(G166="",Parametros!$B$5,G166),Parametros!$B$4),H166))</f>
        <v/>
      </c>
      <c r="K166" s="27" t="str">
        <f aca="false">IF(A166="","",I166*IFERROR(INDEX(Parametros!$B$13:$B$15,MATCH(C166,Parametros!$A$13:$A$15,0)),0))</f>
        <v/>
      </c>
      <c r="L166" s="27" t="str">
        <f aca="false">IF(A166="","",I166*IFERROR(INDEX(Parametros!$C$13:$C$15,MATCH(C166,Parametros!$A$13:$A$15,0)),0))</f>
        <v/>
      </c>
      <c r="M166" s="27" t="str">
        <f aca="false">IF(A166="","",IF(C166="Wise Makers",F166,0))</f>
        <v/>
      </c>
    </row>
    <row r="167" customFormat="false" ht="15" hidden="false" customHeight="false" outlineLevel="0" collapsed="false">
      <c r="A167" s="25"/>
      <c r="F167" s="27"/>
      <c r="H167" s="27"/>
      <c r="I167" s="27"/>
      <c r="J167" s="27" t="str">
        <f aca="false">IF(A167="","",IF(C167="Wise Makers",F167*MIN(IF(G167="",Parametros!$B$5,G167),Parametros!$B$4),H167))</f>
        <v/>
      </c>
      <c r="K167" s="27" t="str">
        <f aca="false">IF(A167="","",I167*IFERROR(INDEX(Parametros!$B$13:$B$15,MATCH(C167,Parametros!$A$13:$A$15,0)),0))</f>
        <v/>
      </c>
      <c r="L167" s="27" t="str">
        <f aca="false">IF(A167="","",I167*IFERROR(INDEX(Parametros!$C$13:$C$15,MATCH(C167,Parametros!$A$13:$A$15,0)),0))</f>
        <v/>
      </c>
      <c r="M167" s="27" t="str">
        <f aca="false">IF(A167="","",IF(C167="Wise Makers",F167,0))</f>
        <v/>
      </c>
    </row>
    <row r="168" customFormat="false" ht="15" hidden="false" customHeight="false" outlineLevel="0" collapsed="false">
      <c r="A168" s="25"/>
      <c r="F168" s="27"/>
      <c r="H168" s="27"/>
      <c r="I168" s="27"/>
      <c r="J168" s="27" t="str">
        <f aca="false">IF(A168="","",IF(C168="Wise Makers",F168*MIN(IF(G168="",Parametros!$B$5,G168),Parametros!$B$4),H168))</f>
        <v/>
      </c>
      <c r="K168" s="27" t="str">
        <f aca="false">IF(A168="","",I168*IFERROR(INDEX(Parametros!$B$13:$B$15,MATCH(C168,Parametros!$A$13:$A$15,0)),0))</f>
        <v/>
      </c>
      <c r="L168" s="27" t="str">
        <f aca="false">IF(A168="","",I168*IFERROR(INDEX(Parametros!$C$13:$C$15,MATCH(C168,Parametros!$A$13:$A$15,0)),0))</f>
        <v/>
      </c>
      <c r="M168" s="27" t="str">
        <f aca="false">IF(A168="","",IF(C168="Wise Makers",F168,0))</f>
        <v/>
      </c>
    </row>
    <row r="169" customFormat="false" ht="15" hidden="false" customHeight="false" outlineLevel="0" collapsed="false">
      <c r="A169" s="25"/>
      <c r="F169" s="27"/>
      <c r="H169" s="27"/>
      <c r="I169" s="27"/>
      <c r="J169" s="27" t="str">
        <f aca="false">IF(A169="","",IF(C169="Wise Makers",F169*MIN(IF(G169="",Parametros!$B$5,G169),Parametros!$B$4),H169))</f>
        <v/>
      </c>
      <c r="K169" s="27" t="str">
        <f aca="false">IF(A169="","",I169*IFERROR(INDEX(Parametros!$B$13:$B$15,MATCH(C169,Parametros!$A$13:$A$15,0)),0))</f>
        <v/>
      </c>
      <c r="L169" s="27" t="str">
        <f aca="false">IF(A169="","",I169*IFERROR(INDEX(Parametros!$C$13:$C$15,MATCH(C169,Parametros!$A$13:$A$15,0)),0))</f>
        <v/>
      </c>
      <c r="M169" s="27" t="str">
        <f aca="false">IF(A169="","",IF(C169="Wise Makers",F169,0))</f>
        <v/>
      </c>
    </row>
    <row r="170" customFormat="false" ht="15" hidden="false" customHeight="false" outlineLevel="0" collapsed="false">
      <c r="A170" s="25"/>
      <c r="F170" s="27"/>
      <c r="H170" s="27"/>
      <c r="I170" s="27"/>
      <c r="J170" s="27" t="str">
        <f aca="false">IF(A170="","",IF(C170="Wise Makers",F170*MIN(IF(G170="",Parametros!$B$5,G170),Parametros!$B$4),H170))</f>
        <v/>
      </c>
      <c r="K170" s="27" t="str">
        <f aca="false">IF(A170="","",I170*IFERROR(INDEX(Parametros!$B$13:$B$15,MATCH(C170,Parametros!$A$13:$A$15,0)),0))</f>
        <v/>
      </c>
      <c r="L170" s="27" t="str">
        <f aca="false">IF(A170="","",I170*IFERROR(INDEX(Parametros!$C$13:$C$15,MATCH(C170,Parametros!$A$13:$A$15,0)),0))</f>
        <v/>
      </c>
      <c r="M170" s="27" t="str">
        <f aca="false">IF(A170="","",IF(C170="Wise Makers",F170,0))</f>
        <v/>
      </c>
    </row>
    <row r="171" customFormat="false" ht="15" hidden="false" customHeight="false" outlineLevel="0" collapsed="false">
      <c r="A171" s="25"/>
      <c r="F171" s="27"/>
      <c r="H171" s="27"/>
      <c r="I171" s="27"/>
      <c r="J171" s="27" t="str">
        <f aca="false">IF(A171="","",IF(C171="Wise Makers",F171*MIN(IF(G171="",Parametros!$B$5,G171),Parametros!$B$4),H171))</f>
        <v/>
      </c>
      <c r="K171" s="27" t="str">
        <f aca="false">IF(A171="","",I171*IFERROR(INDEX(Parametros!$B$13:$B$15,MATCH(C171,Parametros!$A$13:$A$15,0)),0))</f>
        <v/>
      </c>
      <c r="L171" s="27" t="str">
        <f aca="false">IF(A171="","",I171*IFERROR(INDEX(Parametros!$C$13:$C$15,MATCH(C171,Parametros!$A$13:$A$15,0)),0))</f>
        <v/>
      </c>
      <c r="M171" s="27" t="str">
        <f aca="false">IF(A171="","",IF(C171="Wise Makers",F171,0))</f>
        <v/>
      </c>
    </row>
    <row r="172" customFormat="false" ht="15" hidden="false" customHeight="false" outlineLevel="0" collapsed="false">
      <c r="A172" s="25"/>
      <c r="F172" s="27"/>
      <c r="H172" s="27"/>
      <c r="I172" s="27"/>
      <c r="J172" s="27" t="str">
        <f aca="false">IF(A172="","",IF(C172="Wise Makers",F172*MIN(IF(G172="",Parametros!$B$5,G172),Parametros!$B$4),H172))</f>
        <v/>
      </c>
      <c r="K172" s="27" t="str">
        <f aca="false">IF(A172="","",I172*IFERROR(INDEX(Parametros!$B$13:$B$15,MATCH(C172,Parametros!$A$13:$A$15,0)),0))</f>
        <v/>
      </c>
      <c r="L172" s="27" t="str">
        <f aca="false">IF(A172="","",I172*IFERROR(INDEX(Parametros!$C$13:$C$15,MATCH(C172,Parametros!$A$13:$A$15,0)),0))</f>
        <v/>
      </c>
      <c r="M172" s="27" t="str">
        <f aca="false">IF(A172="","",IF(C172="Wise Makers",F172,0))</f>
        <v/>
      </c>
    </row>
    <row r="173" customFormat="false" ht="15" hidden="false" customHeight="false" outlineLevel="0" collapsed="false">
      <c r="A173" s="25"/>
      <c r="F173" s="27"/>
      <c r="H173" s="27"/>
      <c r="I173" s="27"/>
      <c r="J173" s="27" t="str">
        <f aca="false">IF(A173="","",IF(C173="Wise Makers",F173*MIN(IF(G173="",Parametros!$B$5,G173),Parametros!$B$4),H173))</f>
        <v/>
      </c>
      <c r="K173" s="27" t="str">
        <f aca="false">IF(A173="","",I173*IFERROR(INDEX(Parametros!$B$13:$B$15,MATCH(C173,Parametros!$A$13:$A$15,0)),0))</f>
        <v/>
      </c>
      <c r="L173" s="27" t="str">
        <f aca="false">IF(A173="","",I173*IFERROR(INDEX(Parametros!$C$13:$C$15,MATCH(C173,Parametros!$A$13:$A$15,0)),0))</f>
        <v/>
      </c>
      <c r="M173" s="27" t="str">
        <f aca="false">IF(A173="","",IF(C173="Wise Makers",F173,0))</f>
        <v/>
      </c>
    </row>
    <row r="174" customFormat="false" ht="15" hidden="false" customHeight="false" outlineLevel="0" collapsed="false">
      <c r="A174" s="25"/>
      <c r="F174" s="27"/>
      <c r="H174" s="27"/>
      <c r="I174" s="27"/>
      <c r="J174" s="27" t="str">
        <f aca="false">IF(A174="","",IF(C174="Wise Makers",F174*MIN(IF(G174="",Parametros!$B$5,G174),Parametros!$B$4),H174))</f>
        <v/>
      </c>
      <c r="K174" s="27" t="str">
        <f aca="false">IF(A174="","",I174*IFERROR(INDEX(Parametros!$B$13:$B$15,MATCH(C174,Parametros!$A$13:$A$15,0)),0))</f>
        <v/>
      </c>
      <c r="L174" s="27" t="str">
        <f aca="false">IF(A174="","",I174*IFERROR(INDEX(Parametros!$C$13:$C$15,MATCH(C174,Parametros!$A$13:$A$15,0)),0))</f>
        <v/>
      </c>
      <c r="M174" s="27" t="str">
        <f aca="false">IF(A174="","",IF(C174="Wise Makers",F174,0))</f>
        <v/>
      </c>
    </row>
    <row r="175" customFormat="false" ht="15" hidden="false" customHeight="false" outlineLevel="0" collapsed="false">
      <c r="A175" s="25"/>
      <c r="F175" s="27"/>
      <c r="H175" s="27"/>
      <c r="I175" s="27"/>
      <c r="J175" s="27" t="str">
        <f aca="false">IF(A175="","",IF(C175="Wise Makers",F175*MIN(IF(G175="",Parametros!$B$5,G175),Parametros!$B$4),H175))</f>
        <v/>
      </c>
      <c r="K175" s="27" t="str">
        <f aca="false">IF(A175="","",I175*IFERROR(INDEX(Parametros!$B$13:$B$15,MATCH(C175,Parametros!$A$13:$A$15,0)),0))</f>
        <v/>
      </c>
      <c r="L175" s="27" t="str">
        <f aca="false">IF(A175="","",I175*IFERROR(INDEX(Parametros!$C$13:$C$15,MATCH(C175,Parametros!$A$13:$A$15,0)),0))</f>
        <v/>
      </c>
      <c r="M175" s="27" t="str">
        <f aca="false">IF(A175="","",IF(C175="Wise Makers",F175,0))</f>
        <v/>
      </c>
    </row>
    <row r="176" customFormat="false" ht="15" hidden="false" customHeight="false" outlineLevel="0" collapsed="false">
      <c r="A176" s="25"/>
      <c r="F176" s="27"/>
      <c r="H176" s="27"/>
      <c r="I176" s="27"/>
      <c r="J176" s="27" t="str">
        <f aca="false">IF(A176="","",IF(C176="Wise Makers",F176*MIN(IF(G176="",Parametros!$B$5,G176),Parametros!$B$4),H176))</f>
        <v/>
      </c>
      <c r="K176" s="27" t="str">
        <f aca="false">IF(A176="","",I176*IFERROR(INDEX(Parametros!$B$13:$B$15,MATCH(C176,Parametros!$A$13:$A$15,0)),0))</f>
        <v/>
      </c>
      <c r="L176" s="27" t="str">
        <f aca="false">IF(A176="","",I176*IFERROR(INDEX(Parametros!$C$13:$C$15,MATCH(C176,Parametros!$A$13:$A$15,0)),0))</f>
        <v/>
      </c>
      <c r="M176" s="27" t="str">
        <f aca="false">IF(A176="","",IF(C176="Wise Makers",F176,0))</f>
        <v/>
      </c>
    </row>
    <row r="177" customFormat="false" ht="15" hidden="false" customHeight="false" outlineLevel="0" collapsed="false">
      <c r="A177" s="25"/>
      <c r="F177" s="27"/>
      <c r="H177" s="27"/>
      <c r="I177" s="27"/>
      <c r="J177" s="27" t="str">
        <f aca="false">IF(A177="","",IF(C177="Wise Makers",F177*MIN(IF(G177="",Parametros!$B$5,G177),Parametros!$B$4),H177))</f>
        <v/>
      </c>
      <c r="K177" s="27" t="str">
        <f aca="false">IF(A177="","",I177*IFERROR(INDEX(Parametros!$B$13:$B$15,MATCH(C177,Parametros!$A$13:$A$15,0)),0))</f>
        <v/>
      </c>
      <c r="L177" s="27" t="str">
        <f aca="false">IF(A177="","",I177*IFERROR(INDEX(Parametros!$C$13:$C$15,MATCH(C177,Parametros!$A$13:$A$15,0)),0))</f>
        <v/>
      </c>
      <c r="M177" s="27" t="str">
        <f aca="false">IF(A177="","",IF(C177="Wise Makers",F177,0))</f>
        <v/>
      </c>
    </row>
    <row r="178" customFormat="false" ht="15" hidden="false" customHeight="false" outlineLevel="0" collapsed="false">
      <c r="A178" s="25"/>
      <c r="F178" s="27"/>
      <c r="H178" s="27"/>
      <c r="I178" s="27"/>
      <c r="J178" s="27" t="str">
        <f aca="false">IF(A178="","",IF(C178="Wise Makers",F178*MIN(IF(G178="",Parametros!$B$5,G178),Parametros!$B$4),H178))</f>
        <v/>
      </c>
      <c r="K178" s="27" t="str">
        <f aca="false">IF(A178="","",I178*IFERROR(INDEX(Parametros!$B$13:$B$15,MATCH(C178,Parametros!$A$13:$A$15,0)),0))</f>
        <v/>
      </c>
      <c r="L178" s="27" t="str">
        <f aca="false">IF(A178="","",I178*IFERROR(INDEX(Parametros!$C$13:$C$15,MATCH(C178,Parametros!$A$13:$A$15,0)),0))</f>
        <v/>
      </c>
      <c r="M178" s="27" t="str">
        <f aca="false">IF(A178="","",IF(C178="Wise Makers",F178,0))</f>
        <v/>
      </c>
    </row>
    <row r="179" customFormat="false" ht="15" hidden="false" customHeight="false" outlineLevel="0" collapsed="false">
      <c r="A179" s="25"/>
      <c r="F179" s="27"/>
      <c r="H179" s="27"/>
      <c r="I179" s="27"/>
      <c r="J179" s="27" t="str">
        <f aca="false">IF(A179="","",IF(C179="Wise Makers",F179*MIN(IF(G179="",Parametros!$B$5,G179),Parametros!$B$4),H179))</f>
        <v/>
      </c>
      <c r="K179" s="27" t="str">
        <f aca="false">IF(A179="","",I179*IFERROR(INDEX(Parametros!$B$13:$B$15,MATCH(C179,Parametros!$A$13:$A$15,0)),0))</f>
        <v/>
      </c>
      <c r="L179" s="27" t="str">
        <f aca="false">IF(A179="","",I179*IFERROR(INDEX(Parametros!$C$13:$C$15,MATCH(C179,Parametros!$A$13:$A$15,0)),0))</f>
        <v/>
      </c>
      <c r="M179" s="27" t="str">
        <f aca="false">IF(A179="","",IF(C179="Wise Makers",F179,0))</f>
        <v/>
      </c>
    </row>
    <row r="180" customFormat="false" ht="15" hidden="false" customHeight="false" outlineLevel="0" collapsed="false">
      <c r="A180" s="25"/>
      <c r="F180" s="27"/>
      <c r="H180" s="27"/>
      <c r="I180" s="27"/>
      <c r="J180" s="27" t="str">
        <f aca="false">IF(A180="","",IF(C180="Wise Makers",F180*MIN(IF(G180="",Parametros!$B$5,G180),Parametros!$B$4),H180))</f>
        <v/>
      </c>
      <c r="K180" s="27" t="str">
        <f aca="false">IF(A180="","",I180*IFERROR(INDEX(Parametros!$B$13:$B$15,MATCH(C180,Parametros!$A$13:$A$15,0)),0))</f>
        <v/>
      </c>
      <c r="L180" s="27" t="str">
        <f aca="false">IF(A180="","",I180*IFERROR(INDEX(Parametros!$C$13:$C$15,MATCH(C180,Parametros!$A$13:$A$15,0)),0))</f>
        <v/>
      </c>
      <c r="M180" s="27" t="str">
        <f aca="false">IF(A180="","",IF(C180="Wise Makers",F180,0))</f>
        <v/>
      </c>
    </row>
    <row r="181" customFormat="false" ht="15" hidden="false" customHeight="false" outlineLevel="0" collapsed="false">
      <c r="A181" s="25"/>
      <c r="F181" s="27"/>
      <c r="H181" s="27"/>
      <c r="I181" s="27"/>
      <c r="J181" s="27" t="str">
        <f aca="false">IF(A181="","",IF(C181="Wise Makers",F181*MIN(IF(G181="",Parametros!$B$5,G181),Parametros!$B$4),H181))</f>
        <v/>
      </c>
      <c r="K181" s="27" t="str">
        <f aca="false">IF(A181="","",I181*IFERROR(INDEX(Parametros!$B$13:$B$15,MATCH(C181,Parametros!$A$13:$A$15,0)),0))</f>
        <v/>
      </c>
      <c r="L181" s="27" t="str">
        <f aca="false">IF(A181="","",I181*IFERROR(INDEX(Parametros!$C$13:$C$15,MATCH(C181,Parametros!$A$13:$A$15,0)),0))</f>
        <v/>
      </c>
      <c r="M181" s="27" t="str">
        <f aca="false">IF(A181="","",IF(C181="Wise Makers",F181,0))</f>
        <v/>
      </c>
    </row>
    <row r="182" customFormat="false" ht="15" hidden="false" customHeight="false" outlineLevel="0" collapsed="false">
      <c r="A182" s="25"/>
      <c r="F182" s="27"/>
      <c r="H182" s="27"/>
      <c r="I182" s="27"/>
      <c r="J182" s="27" t="str">
        <f aca="false">IF(A182="","",IF(C182="Wise Makers",F182*MIN(IF(G182="",Parametros!$B$5,G182),Parametros!$B$4),H182))</f>
        <v/>
      </c>
      <c r="K182" s="27" t="str">
        <f aca="false">IF(A182="","",I182*IFERROR(INDEX(Parametros!$B$13:$B$15,MATCH(C182,Parametros!$A$13:$A$15,0)),0))</f>
        <v/>
      </c>
      <c r="L182" s="27" t="str">
        <f aca="false">IF(A182="","",I182*IFERROR(INDEX(Parametros!$C$13:$C$15,MATCH(C182,Parametros!$A$13:$A$15,0)),0))</f>
        <v/>
      </c>
      <c r="M182" s="27" t="str">
        <f aca="false">IF(A182="","",IF(C182="Wise Makers",F182,0))</f>
        <v/>
      </c>
    </row>
    <row r="183" customFormat="false" ht="15" hidden="false" customHeight="false" outlineLevel="0" collapsed="false">
      <c r="A183" s="25"/>
      <c r="F183" s="27"/>
      <c r="H183" s="27"/>
      <c r="I183" s="27"/>
      <c r="J183" s="27" t="str">
        <f aca="false">IF(A183="","",IF(C183="Wise Makers",F183*MIN(IF(G183="",Parametros!$B$5,G183),Parametros!$B$4),H183))</f>
        <v/>
      </c>
      <c r="K183" s="27" t="str">
        <f aca="false">IF(A183="","",I183*IFERROR(INDEX(Parametros!$B$13:$B$15,MATCH(C183,Parametros!$A$13:$A$15,0)),0))</f>
        <v/>
      </c>
      <c r="L183" s="27" t="str">
        <f aca="false">IF(A183="","",I183*IFERROR(INDEX(Parametros!$C$13:$C$15,MATCH(C183,Parametros!$A$13:$A$15,0)),0))</f>
        <v/>
      </c>
      <c r="M183" s="27" t="str">
        <f aca="false">IF(A183="","",IF(C183="Wise Makers",F183,0))</f>
        <v/>
      </c>
    </row>
    <row r="184" customFormat="false" ht="15" hidden="false" customHeight="false" outlineLevel="0" collapsed="false">
      <c r="A184" s="25"/>
      <c r="F184" s="27"/>
      <c r="H184" s="27"/>
      <c r="I184" s="27"/>
      <c r="J184" s="27" t="str">
        <f aca="false">IF(A184="","",IF(C184="Wise Makers",F184*MIN(IF(G184="",Parametros!$B$5,G184),Parametros!$B$4),H184))</f>
        <v/>
      </c>
      <c r="K184" s="27" t="str">
        <f aca="false">IF(A184="","",I184*IFERROR(INDEX(Parametros!$B$13:$B$15,MATCH(C184,Parametros!$A$13:$A$15,0)),0))</f>
        <v/>
      </c>
      <c r="L184" s="27" t="str">
        <f aca="false">IF(A184="","",I184*IFERROR(INDEX(Parametros!$C$13:$C$15,MATCH(C184,Parametros!$A$13:$A$15,0)),0))</f>
        <v/>
      </c>
      <c r="M184" s="27" t="str">
        <f aca="false">IF(A184="","",IF(C184="Wise Makers",F184,0))</f>
        <v/>
      </c>
    </row>
    <row r="185" customFormat="false" ht="15" hidden="false" customHeight="false" outlineLevel="0" collapsed="false">
      <c r="A185" s="25"/>
      <c r="F185" s="27"/>
      <c r="H185" s="27"/>
      <c r="I185" s="27"/>
      <c r="J185" s="27" t="str">
        <f aca="false">IF(A185="","",IF(C185="Wise Makers",F185*MIN(IF(G185="",Parametros!$B$5,G185),Parametros!$B$4),H185))</f>
        <v/>
      </c>
      <c r="K185" s="27" t="str">
        <f aca="false">IF(A185="","",I185*IFERROR(INDEX(Parametros!$B$13:$B$15,MATCH(C185,Parametros!$A$13:$A$15,0)),0))</f>
        <v/>
      </c>
      <c r="L185" s="27" t="str">
        <f aca="false">IF(A185="","",I185*IFERROR(INDEX(Parametros!$C$13:$C$15,MATCH(C185,Parametros!$A$13:$A$15,0)),0))</f>
        <v/>
      </c>
      <c r="M185" s="27" t="str">
        <f aca="false">IF(A185="","",IF(C185="Wise Makers",F185,0))</f>
        <v/>
      </c>
    </row>
    <row r="186" customFormat="false" ht="15" hidden="false" customHeight="false" outlineLevel="0" collapsed="false">
      <c r="A186" s="25"/>
      <c r="F186" s="27"/>
      <c r="H186" s="27"/>
      <c r="I186" s="27"/>
      <c r="J186" s="27" t="str">
        <f aca="false">IF(A186="","",IF(C186="Wise Makers",F186*MIN(IF(G186="",Parametros!$B$5,G186),Parametros!$B$4),H186))</f>
        <v/>
      </c>
      <c r="K186" s="27" t="str">
        <f aca="false">IF(A186="","",I186*IFERROR(INDEX(Parametros!$B$13:$B$15,MATCH(C186,Parametros!$A$13:$A$15,0)),0))</f>
        <v/>
      </c>
      <c r="L186" s="27" t="str">
        <f aca="false">IF(A186="","",I186*IFERROR(INDEX(Parametros!$C$13:$C$15,MATCH(C186,Parametros!$A$13:$A$15,0)),0))</f>
        <v/>
      </c>
      <c r="M186" s="27" t="str">
        <f aca="false">IF(A186="","",IF(C186="Wise Makers",F186,0))</f>
        <v/>
      </c>
    </row>
    <row r="187" customFormat="false" ht="15" hidden="false" customHeight="false" outlineLevel="0" collapsed="false">
      <c r="A187" s="25"/>
      <c r="F187" s="27"/>
      <c r="H187" s="27"/>
      <c r="I187" s="27"/>
      <c r="J187" s="27" t="str">
        <f aca="false">IF(A187="","",IF(C187="Wise Makers",F187*MIN(IF(G187="",Parametros!$B$5,G187),Parametros!$B$4),H187))</f>
        <v/>
      </c>
      <c r="K187" s="27" t="str">
        <f aca="false">IF(A187="","",I187*IFERROR(INDEX(Parametros!$B$13:$B$15,MATCH(C187,Parametros!$A$13:$A$15,0)),0))</f>
        <v/>
      </c>
      <c r="L187" s="27" t="str">
        <f aca="false">IF(A187="","",I187*IFERROR(INDEX(Parametros!$C$13:$C$15,MATCH(C187,Parametros!$A$13:$A$15,0)),0))</f>
        <v/>
      </c>
      <c r="M187" s="27" t="str">
        <f aca="false">IF(A187="","",IF(C187="Wise Makers",F187,0))</f>
        <v/>
      </c>
    </row>
    <row r="188" customFormat="false" ht="15" hidden="false" customHeight="false" outlineLevel="0" collapsed="false">
      <c r="A188" s="25"/>
      <c r="F188" s="27"/>
      <c r="H188" s="27"/>
      <c r="I188" s="27"/>
      <c r="J188" s="27" t="str">
        <f aca="false">IF(A188="","",IF(C188="Wise Makers",F188*MIN(IF(G188="",Parametros!$B$5,G188),Parametros!$B$4),H188))</f>
        <v/>
      </c>
      <c r="K188" s="27" t="str">
        <f aca="false">IF(A188="","",I188*IFERROR(INDEX(Parametros!$B$13:$B$15,MATCH(C188,Parametros!$A$13:$A$15,0)),0))</f>
        <v/>
      </c>
      <c r="L188" s="27" t="str">
        <f aca="false">IF(A188="","",I188*IFERROR(INDEX(Parametros!$C$13:$C$15,MATCH(C188,Parametros!$A$13:$A$15,0)),0))</f>
        <v/>
      </c>
      <c r="M188" s="27" t="str">
        <f aca="false">IF(A188="","",IF(C188="Wise Makers",F188,0))</f>
        <v/>
      </c>
    </row>
    <row r="189" customFormat="false" ht="15" hidden="false" customHeight="false" outlineLevel="0" collapsed="false">
      <c r="A189" s="25"/>
      <c r="F189" s="27"/>
      <c r="H189" s="27"/>
      <c r="I189" s="27"/>
      <c r="J189" s="27" t="str">
        <f aca="false">IF(A189="","",IF(C189="Wise Makers",F189*MIN(IF(G189="",Parametros!$B$5,G189),Parametros!$B$4),H189))</f>
        <v/>
      </c>
      <c r="K189" s="27" t="str">
        <f aca="false">IF(A189="","",I189*IFERROR(INDEX(Parametros!$B$13:$B$15,MATCH(C189,Parametros!$A$13:$A$15,0)),0))</f>
        <v/>
      </c>
      <c r="L189" s="27" t="str">
        <f aca="false">IF(A189="","",I189*IFERROR(INDEX(Parametros!$C$13:$C$15,MATCH(C189,Parametros!$A$13:$A$15,0)),0))</f>
        <v/>
      </c>
      <c r="M189" s="27" t="str">
        <f aca="false">IF(A189="","",IF(C189="Wise Makers",F189,0))</f>
        <v/>
      </c>
    </row>
    <row r="190" customFormat="false" ht="15" hidden="false" customHeight="false" outlineLevel="0" collapsed="false">
      <c r="A190" s="25"/>
      <c r="F190" s="27"/>
      <c r="H190" s="27"/>
      <c r="I190" s="27"/>
      <c r="J190" s="27" t="str">
        <f aca="false">IF(A190="","",IF(C190="Wise Makers",F190*MIN(IF(G190="",Parametros!$B$5,G190),Parametros!$B$4),H190))</f>
        <v/>
      </c>
      <c r="K190" s="27" t="str">
        <f aca="false">IF(A190="","",I190*IFERROR(INDEX(Parametros!$B$13:$B$15,MATCH(C190,Parametros!$A$13:$A$15,0)),0))</f>
        <v/>
      </c>
      <c r="L190" s="27" t="str">
        <f aca="false">IF(A190="","",I190*IFERROR(INDEX(Parametros!$C$13:$C$15,MATCH(C190,Parametros!$A$13:$A$15,0)),0))</f>
        <v/>
      </c>
      <c r="M190" s="27" t="str">
        <f aca="false">IF(A190="","",IF(C190="Wise Makers",F190,0))</f>
        <v/>
      </c>
    </row>
    <row r="191" customFormat="false" ht="15" hidden="false" customHeight="false" outlineLevel="0" collapsed="false">
      <c r="A191" s="25"/>
      <c r="F191" s="27"/>
      <c r="H191" s="27"/>
      <c r="I191" s="27"/>
      <c r="J191" s="27" t="str">
        <f aca="false">IF(A191="","",IF(C191="Wise Makers",F191*MIN(IF(G191="",Parametros!$B$5,G191),Parametros!$B$4),H191))</f>
        <v/>
      </c>
      <c r="K191" s="27" t="str">
        <f aca="false">IF(A191="","",I191*IFERROR(INDEX(Parametros!$B$13:$B$15,MATCH(C191,Parametros!$A$13:$A$15,0)),0))</f>
        <v/>
      </c>
      <c r="L191" s="27" t="str">
        <f aca="false">IF(A191="","",I191*IFERROR(INDEX(Parametros!$C$13:$C$15,MATCH(C191,Parametros!$A$13:$A$15,0)),0))</f>
        <v/>
      </c>
      <c r="M191" s="27" t="str">
        <f aca="false">IF(A191="","",IF(C191="Wise Makers",F191,0))</f>
        <v/>
      </c>
    </row>
    <row r="192" customFormat="false" ht="15" hidden="false" customHeight="false" outlineLevel="0" collapsed="false">
      <c r="A192" s="25"/>
      <c r="F192" s="27"/>
      <c r="H192" s="27"/>
      <c r="I192" s="27"/>
      <c r="J192" s="27" t="str">
        <f aca="false">IF(A192="","",IF(C192="Wise Makers",F192*MIN(IF(G192="",Parametros!$B$5,G192),Parametros!$B$4),H192))</f>
        <v/>
      </c>
      <c r="K192" s="27" t="str">
        <f aca="false">IF(A192="","",I192*IFERROR(INDEX(Parametros!$B$13:$B$15,MATCH(C192,Parametros!$A$13:$A$15,0)),0))</f>
        <v/>
      </c>
      <c r="L192" s="27" t="str">
        <f aca="false">IF(A192="","",I192*IFERROR(INDEX(Parametros!$C$13:$C$15,MATCH(C192,Parametros!$A$13:$A$15,0)),0))</f>
        <v/>
      </c>
      <c r="M192" s="27" t="str">
        <f aca="false">IF(A192="","",IF(C192="Wise Makers",F192,0))</f>
        <v/>
      </c>
    </row>
    <row r="193" customFormat="false" ht="15" hidden="false" customHeight="false" outlineLevel="0" collapsed="false">
      <c r="A193" s="25"/>
      <c r="F193" s="27"/>
      <c r="H193" s="27"/>
      <c r="I193" s="27"/>
      <c r="J193" s="27" t="str">
        <f aca="false">IF(A193="","",IF(C193="Wise Makers",F193*MIN(IF(G193="",Parametros!$B$5,G193),Parametros!$B$4),H193))</f>
        <v/>
      </c>
      <c r="K193" s="27" t="str">
        <f aca="false">IF(A193="","",I193*IFERROR(INDEX(Parametros!$B$13:$B$15,MATCH(C193,Parametros!$A$13:$A$15,0)),0))</f>
        <v/>
      </c>
      <c r="L193" s="27" t="str">
        <f aca="false">IF(A193="","",I193*IFERROR(INDEX(Parametros!$C$13:$C$15,MATCH(C193,Parametros!$A$13:$A$15,0)),0))</f>
        <v/>
      </c>
      <c r="M193" s="27" t="str">
        <f aca="false">IF(A193="","",IF(C193="Wise Makers",F193,0))</f>
        <v/>
      </c>
    </row>
    <row r="194" customFormat="false" ht="15" hidden="false" customHeight="false" outlineLevel="0" collapsed="false">
      <c r="A194" s="25"/>
      <c r="F194" s="27"/>
      <c r="H194" s="27"/>
      <c r="I194" s="27"/>
      <c r="J194" s="27" t="str">
        <f aca="false">IF(A194="","",IF(C194="Wise Makers",F194*MIN(IF(G194="",Parametros!$B$5,G194),Parametros!$B$4),H194))</f>
        <v/>
      </c>
      <c r="K194" s="27" t="str">
        <f aca="false">IF(A194="","",I194*IFERROR(INDEX(Parametros!$B$13:$B$15,MATCH(C194,Parametros!$A$13:$A$15,0)),0))</f>
        <v/>
      </c>
      <c r="L194" s="27" t="str">
        <f aca="false">IF(A194="","",I194*IFERROR(INDEX(Parametros!$C$13:$C$15,MATCH(C194,Parametros!$A$13:$A$15,0)),0))</f>
        <v/>
      </c>
      <c r="M194" s="27" t="str">
        <f aca="false">IF(A194="","",IF(C194="Wise Makers",F194,0))</f>
        <v/>
      </c>
    </row>
    <row r="195" customFormat="false" ht="15" hidden="false" customHeight="false" outlineLevel="0" collapsed="false">
      <c r="A195" s="25"/>
      <c r="F195" s="27"/>
      <c r="H195" s="27"/>
      <c r="I195" s="27"/>
      <c r="J195" s="27" t="str">
        <f aca="false">IF(A195="","",IF(C195="Wise Makers",F195*MIN(IF(G195="",Parametros!$B$5,G195),Parametros!$B$4),H195))</f>
        <v/>
      </c>
      <c r="K195" s="27" t="str">
        <f aca="false">IF(A195="","",I195*IFERROR(INDEX(Parametros!$B$13:$B$15,MATCH(C195,Parametros!$A$13:$A$15,0)),0))</f>
        <v/>
      </c>
      <c r="L195" s="27" t="str">
        <f aca="false">IF(A195="","",I195*IFERROR(INDEX(Parametros!$C$13:$C$15,MATCH(C195,Parametros!$A$13:$A$15,0)),0))</f>
        <v/>
      </c>
      <c r="M195" s="27" t="str">
        <f aca="false">IF(A195="","",IF(C195="Wise Makers",F195,0))</f>
        <v/>
      </c>
    </row>
    <row r="196" customFormat="false" ht="15" hidden="false" customHeight="false" outlineLevel="0" collapsed="false">
      <c r="A196" s="25"/>
      <c r="F196" s="27"/>
      <c r="H196" s="27"/>
      <c r="I196" s="27"/>
      <c r="J196" s="27" t="str">
        <f aca="false">IF(A196="","",IF(C196="Wise Makers",F196*MIN(IF(G196="",Parametros!$B$5,G196),Parametros!$B$4),H196))</f>
        <v/>
      </c>
      <c r="K196" s="27" t="str">
        <f aca="false">IF(A196="","",I196*IFERROR(INDEX(Parametros!$B$13:$B$15,MATCH(C196,Parametros!$A$13:$A$15,0)),0))</f>
        <v/>
      </c>
      <c r="L196" s="27" t="str">
        <f aca="false">IF(A196="","",I196*IFERROR(INDEX(Parametros!$C$13:$C$15,MATCH(C196,Parametros!$A$13:$A$15,0)),0))</f>
        <v/>
      </c>
      <c r="M196" s="27" t="str">
        <f aca="false">IF(A196="","",IF(C196="Wise Makers",F196,0))</f>
        <v/>
      </c>
    </row>
    <row r="197" customFormat="false" ht="15" hidden="false" customHeight="false" outlineLevel="0" collapsed="false">
      <c r="A197" s="25"/>
      <c r="F197" s="27"/>
      <c r="H197" s="27"/>
      <c r="I197" s="27"/>
      <c r="J197" s="27" t="str">
        <f aca="false">IF(A197="","",IF(C197="Wise Makers",F197*MIN(IF(G197="",Parametros!$B$5,G197),Parametros!$B$4),H197))</f>
        <v/>
      </c>
      <c r="K197" s="27" t="str">
        <f aca="false">IF(A197="","",I197*IFERROR(INDEX(Parametros!$B$13:$B$15,MATCH(C197,Parametros!$A$13:$A$15,0)),0))</f>
        <v/>
      </c>
      <c r="L197" s="27" t="str">
        <f aca="false">IF(A197="","",I197*IFERROR(INDEX(Parametros!$C$13:$C$15,MATCH(C197,Parametros!$A$13:$A$15,0)),0))</f>
        <v/>
      </c>
      <c r="M197" s="27" t="str">
        <f aca="false">IF(A197="","",IF(C197="Wise Makers",F197,0))</f>
        <v/>
      </c>
    </row>
    <row r="198" customFormat="false" ht="15" hidden="false" customHeight="false" outlineLevel="0" collapsed="false">
      <c r="A198" s="25"/>
      <c r="F198" s="27"/>
      <c r="H198" s="27"/>
      <c r="I198" s="27"/>
      <c r="J198" s="27" t="str">
        <f aca="false">IF(A198="","",IF(C198="Wise Makers",F198*MIN(IF(G198="",Parametros!$B$5,G198),Parametros!$B$4),H198))</f>
        <v/>
      </c>
      <c r="K198" s="27" t="str">
        <f aca="false">IF(A198="","",I198*IFERROR(INDEX(Parametros!$B$13:$B$15,MATCH(C198,Parametros!$A$13:$A$15,0)),0))</f>
        <v/>
      </c>
      <c r="L198" s="27" t="str">
        <f aca="false">IF(A198="","",I198*IFERROR(INDEX(Parametros!$C$13:$C$15,MATCH(C198,Parametros!$A$13:$A$15,0)),0))</f>
        <v/>
      </c>
      <c r="M198" s="27" t="str">
        <f aca="false">IF(A198="","",IF(C198="Wise Makers",F198,0))</f>
        <v/>
      </c>
    </row>
    <row r="199" customFormat="false" ht="15" hidden="false" customHeight="false" outlineLevel="0" collapsed="false">
      <c r="A199" s="25"/>
      <c r="F199" s="27"/>
      <c r="H199" s="27"/>
      <c r="I199" s="27"/>
      <c r="J199" s="27" t="str">
        <f aca="false">IF(A199="","",IF(C199="Wise Makers",F199*MIN(IF(G199="",Parametros!$B$5,G199),Parametros!$B$4),H199))</f>
        <v/>
      </c>
      <c r="K199" s="27" t="str">
        <f aca="false">IF(A199="","",I199*IFERROR(INDEX(Parametros!$B$13:$B$15,MATCH(C199,Parametros!$A$13:$A$15,0)),0))</f>
        <v/>
      </c>
      <c r="L199" s="27" t="str">
        <f aca="false">IF(A199="","",I199*IFERROR(INDEX(Parametros!$C$13:$C$15,MATCH(C199,Parametros!$A$13:$A$15,0)),0))</f>
        <v/>
      </c>
      <c r="M199" s="27" t="str">
        <f aca="false">IF(A199="","",IF(C199="Wise Makers",F199,0))</f>
        <v/>
      </c>
    </row>
    <row r="200" customFormat="false" ht="15" hidden="false" customHeight="false" outlineLevel="0" collapsed="false">
      <c r="A200" s="25"/>
      <c r="F200" s="27"/>
      <c r="H200" s="27"/>
      <c r="I200" s="27"/>
      <c r="J200" s="27" t="str">
        <f aca="false">IF(A200="","",IF(C200="Wise Makers",F200*MIN(IF(G200="",Parametros!$B$5,G200),Parametros!$B$4),H200))</f>
        <v/>
      </c>
      <c r="K200" s="27" t="str">
        <f aca="false">IF(A200="","",I200*IFERROR(INDEX(Parametros!$B$13:$B$15,MATCH(C200,Parametros!$A$13:$A$15,0)),0))</f>
        <v/>
      </c>
      <c r="L200" s="27" t="str">
        <f aca="false">IF(A200="","",I200*IFERROR(INDEX(Parametros!$C$13:$C$15,MATCH(C200,Parametros!$A$13:$A$15,0)),0))</f>
        <v/>
      </c>
      <c r="M200" s="27" t="str">
        <f aca="false">IF(A200="","",IF(C200="Wise Makers",F200,0))</f>
        <v/>
      </c>
    </row>
    <row r="201" customFormat="false" ht="15" hidden="false" customHeight="false" outlineLevel="0" collapsed="false">
      <c r="A201" s="25"/>
      <c r="F201" s="27"/>
      <c r="H201" s="27"/>
      <c r="I201" s="27"/>
      <c r="J201" s="27" t="str">
        <f aca="false">IF(A201="","",IF(C201="Wise Makers",F201*MIN(IF(G201="",Parametros!$B$5,G201),Parametros!$B$4),H201))</f>
        <v/>
      </c>
      <c r="K201" s="27" t="str">
        <f aca="false">IF(A201="","",I201*IFERROR(INDEX(Parametros!$B$13:$B$15,MATCH(C201,Parametros!$A$13:$A$15,0)),0))</f>
        <v/>
      </c>
      <c r="L201" s="27" t="str">
        <f aca="false">IF(A201="","",I201*IFERROR(INDEX(Parametros!$C$13:$C$15,MATCH(C201,Parametros!$A$13:$A$15,0)),0))</f>
        <v/>
      </c>
      <c r="M201" s="27" t="str">
        <f aca="false">IF(A201="","",IF(C201="Wise Makers",F201,0))</f>
        <v/>
      </c>
    </row>
    <row r="202" customFormat="false" ht="15" hidden="false" customHeight="false" outlineLevel="0" collapsed="false">
      <c r="A202" s="25"/>
      <c r="F202" s="27"/>
      <c r="H202" s="27"/>
      <c r="I202" s="27"/>
      <c r="J202" s="27" t="str">
        <f aca="false">IF(A202="","",IF(C202="Wise Makers",F202*MIN(IF(G202="",Parametros!$B$5,G202),Parametros!$B$4),H202))</f>
        <v/>
      </c>
      <c r="K202" s="27" t="str">
        <f aca="false">IF(A202="","",I202*IFERROR(INDEX(Parametros!$B$13:$B$15,MATCH(C202,Parametros!$A$13:$A$15,0)),0))</f>
        <v/>
      </c>
      <c r="L202" s="27" t="str">
        <f aca="false">IF(A202="","",I202*IFERROR(INDEX(Parametros!$C$13:$C$15,MATCH(C202,Parametros!$A$13:$A$15,0)),0))</f>
        <v/>
      </c>
      <c r="M202" s="27" t="str">
        <f aca="false">IF(A202="","",IF(C202="Wise Makers",F202,0))</f>
        <v/>
      </c>
    </row>
    <row r="203" customFormat="false" ht="15" hidden="false" customHeight="false" outlineLevel="0" collapsed="false">
      <c r="A203" s="25"/>
      <c r="F203" s="27"/>
      <c r="H203" s="27"/>
      <c r="I203" s="27"/>
      <c r="J203" s="27" t="str">
        <f aca="false">IF(A203="","",IF(C203="Wise Makers",F203*MIN(IF(G203="",Parametros!$B$5,G203),Parametros!$B$4),H203))</f>
        <v/>
      </c>
      <c r="K203" s="27" t="str">
        <f aca="false">IF(A203="","",I203*IFERROR(INDEX(Parametros!$B$13:$B$15,MATCH(C203,Parametros!$A$13:$A$15,0)),0))</f>
        <v/>
      </c>
      <c r="L203" s="27" t="str">
        <f aca="false">IF(A203="","",I203*IFERROR(INDEX(Parametros!$C$13:$C$15,MATCH(C203,Parametros!$A$13:$A$15,0)),0))</f>
        <v/>
      </c>
      <c r="M203" s="27" t="str">
        <f aca="false">IF(A203="","",IF(C203="Wise Makers",F203,0))</f>
        <v/>
      </c>
    </row>
    <row r="204" customFormat="false" ht="15" hidden="false" customHeight="false" outlineLevel="0" collapsed="false">
      <c r="A204" s="25"/>
      <c r="F204" s="27"/>
      <c r="H204" s="27"/>
      <c r="I204" s="27"/>
      <c r="J204" s="27" t="str">
        <f aca="false">IF(A204="","",IF(C204="Wise Makers",F204*MIN(IF(G204="",Parametros!$B$5,G204),Parametros!$B$4),H204))</f>
        <v/>
      </c>
      <c r="K204" s="27" t="str">
        <f aca="false">IF(A204="","",I204*IFERROR(INDEX(Parametros!$B$13:$B$15,MATCH(C204,Parametros!$A$13:$A$15,0)),0))</f>
        <v/>
      </c>
      <c r="L204" s="27" t="str">
        <f aca="false">IF(A204="","",I204*IFERROR(INDEX(Parametros!$C$13:$C$15,MATCH(C204,Parametros!$A$13:$A$15,0)),0))</f>
        <v/>
      </c>
      <c r="M204" s="27" t="str">
        <f aca="false">IF(A204="","",IF(C204="Wise Makers",F204,0))</f>
        <v/>
      </c>
    </row>
    <row r="205" customFormat="false" ht="15" hidden="false" customHeight="false" outlineLevel="0" collapsed="false">
      <c r="A205" s="25"/>
      <c r="F205" s="27"/>
      <c r="H205" s="27"/>
      <c r="I205" s="27"/>
      <c r="J205" s="27" t="str">
        <f aca="false">IF(A205="","",IF(C205="Wise Makers",F205*MIN(IF(G205="",Parametros!$B$5,G205),Parametros!$B$4),H205))</f>
        <v/>
      </c>
      <c r="K205" s="27" t="str">
        <f aca="false">IF(A205="","",I205*IFERROR(INDEX(Parametros!$B$13:$B$15,MATCH(C205,Parametros!$A$13:$A$15,0)),0))</f>
        <v/>
      </c>
      <c r="L205" s="27" t="str">
        <f aca="false">IF(A205="","",I205*IFERROR(INDEX(Parametros!$C$13:$C$15,MATCH(C205,Parametros!$A$13:$A$15,0)),0))</f>
        <v/>
      </c>
      <c r="M205" s="27" t="str">
        <f aca="false">IF(A205="","",IF(C205="Wise Makers",F205,0))</f>
        <v/>
      </c>
    </row>
    <row r="206" customFormat="false" ht="15" hidden="false" customHeight="false" outlineLevel="0" collapsed="false">
      <c r="A206" s="25"/>
      <c r="F206" s="27"/>
      <c r="H206" s="27"/>
      <c r="I206" s="27"/>
      <c r="J206" s="27" t="str">
        <f aca="false">IF(A206="","",IF(C206="Wise Makers",F206*MIN(IF(G206="",Parametros!$B$5,G206),Parametros!$B$4),H206))</f>
        <v/>
      </c>
      <c r="K206" s="27" t="str">
        <f aca="false">IF(A206="","",I206*IFERROR(INDEX(Parametros!$B$13:$B$15,MATCH(C206,Parametros!$A$13:$A$15,0)),0))</f>
        <v/>
      </c>
      <c r="L206" s="27" t="str">
        <f aca="false">IF(A206="","",I206*IFERROR(INDEX(Parametros!$C$13:$C$15,MATCH(C206,Parametros!$A$13:$A$15,0)),0))</f>
        <v/>
      </c>
      <c r="M206" s="27" t="str">
        <f aca="false">IF(A206="","",IF(C206="Wise Makers",F206,0))</f>
        <v/>
      </c>
    </row>
    <row r="207" customFormat="false" ht="15" hidden="false" customHeight="false" outlineLevel="0" collapsed="false">
      <c r="A207" s="25"/>
      <c r="F207" s="27"/>
      <c r="H207" s="27"/>
      <c r="I207" s="27"/>
      <c r="J207" s="27" t="str">
        <f aca="false">IF(A207="","",IF(C207="Wise Makers",F207*MIN(IF(G207="",Parametros!$B$5,G207),Parametros!$B$4),H207))</f>
        <v/>
      </c>
      <c r="K207" s="27" t="str">
        <f aca="false">IF(A207="","",I207*IFERROR(INDEX(Parametros!$B$13:$B$15,MATCH(C207,Parametros!$A$13:$A$15,0)),0))</f>
        <v/>
      </c>
      <c r="L207" s="27" t="str">
        <f aca="false">IF(A207="","",I207*IFERROR(INDEX(Parametros!$C$13:$C$15,MATCH(C207,Parametros!$A$13:$A$15,0)),0))</f>
        <v/>
      </c>
      <c r="M207" s="27" t="str">
        <f aca="false">IF(A207="","",IF(C207="Wise Makers",F207,0))</f>
        <v/>
      </c>
    </row>
    <row r="208" customFormat="false" ht="15" hidden="false" customHeight="false" outlineLevel="0" collapsed="false">
      <c r="A208" s="25"/>
      <c r="F208" s="27"/>
      <c r="H208" s="27"/>
      <c r="I208" s="27"/>
      <c r="J208" s="27" t="str">
        <f aca="false">IF(A208="","",IF(C208="Wise Makers",F208*MIN(IF(G208="",Parametros!$B$5,G208),Parametros!$B$4),H208))</f>
        <v/>
      </c>
      <c r="K208" s="27" t="str">
        <f aca="false">IF(A208="","",I208*IFERROR(INDEX(Parametros!$B$13:$B$15,MATCH(C208,Parametros!$A$13:$A$15,0)),0))</f>
        <v/>
      </c>
      <c r="L208" s="27" t="str">
        <f aca="false">IF(A208="","",I208*IFERROR(INDEX(Parametros!$C$13:$C$15,MATCH(C208,Parametros!$A$13:$A$15,0)),0))</f>
        <v/>
      </c>
      <c r="M208" s="27" t="str">
        <f aca="false">IF(A208="","",IF(C208="Wise Makers",F208,0))</f>
        <v/>
      </c>
    </row>
    <row r="209" customFormat="false" ht="15" hidden="false" customHeight="false" outlineLevel="0" collapsed="false">
      <c r="A209" s="25"/>
      <c r="F209" s="27"/>
      <c r="H209" s="27"/>
      <c r="I209" s="27"/>
      <c r="J209" s="27" t="str">
        <f aca="false">IF(A209="","",IF(C209="Wise Makers",F209*MIN(IF(G209="",Parametros!$B$5,G209),Parametros!$B$4),H209))</f>
        <v/>
      </c>
      <c r="K209" s="27" t="str">
        <f aca="false">IF(A209="","",I209*IFERROR(INDEX(Parametros!$B$13:$B$15,MATCH(C209,Parametros!$A$13:$A$15,0)),0))</f>
        <v/>
      </c>
      <c r="L209" s="27" t="str">
        <f aca="false">IF(A209="","",I209*IFERROR(INDEX(Parametros!$C$13:$C$15,MATCH(C209,Parametros!$A$13:$A$15,0)),0))</f>
        <v/>
      </c>
      <c r="M209" s="27" t="str">
        <f aca="false">IF(A209="","",IF(C209="Wise Makers",F209,0))</f>
        <v/>
      </c>
    </row>
    <row r="210" customFormat="false" ht="15" hidden="false" customHeight="false" outlineLevel="0" collapsed="false">
      <c r="A210" s="25"/>
      <c r="F210" s="27"/>
      <c r="H210" s="27"/>
      <c r="I210" s="27"/>
      <c r="J210" s="27" t="str">
        <f aca="false">IF(A210="","",IF(C210="Wise Makers",F210*MIN(IF(G210="",Parametros!$B$5,G210),Parametros!$B$4),H210))</f>
        <v/>
      </c>
      <c r="K210" s="27" t="str">
        <f aca="false">IF(A210="","",I210*IFERROR(INDEX(Parametros!$B$13:$B$15,MATCH(C210,Parametros!$A$13:$A$15,0)),0))</f>
        <v/>
      </c>
      <c r="L210" s="27" t="str">
        <f aca="false">IF(A210="","",I210*IFERROR(INDEX(Parametros!$C$13:$C$15,MATCH(C210,Parametros!$A$13:$A$15,0)),0))</f>
        <v/>
      </c>
      <c r="M210" s="27" t="str">
        <f aca="false">IF(A210="","",IF(C210="Wise Makers",F210,0))</f>
        <v/>
      </c>
    </row>
    <row r="211" customFormat="false" ht="15" hidden="false" customHeight="false" outlineLevel="0" collapsed="false">
      <c r="A211" s="25"/>
      <c r="F211" s="27"/>
      <c r="H211" s="27"/>
      <c r="I211" s="27"/>
      <c r="J211" s="27" t="str">
        <f aca="false">IF(A211="","",IF(C211="Wise Makers",F211*MIN(IF(G211="",Parametros!$B$5,G211),Parametros!$B$4),H211))</f>
        <v/>
      </c>
      <c r="K211" s="27" t="str">
        <f aca="false">IF(A211="","",I211*IFERROR(INDEX(Parametros!$B$13:$B$15,MATCH(C211,Parametros!$A$13:$A$15,0)),0))</f>
        <v/>
      </c>
      <c r="L211" s="27" t="str">
        <f aca="false">IF(A211="","",I211*IFERROR(INDEX(Parametros!$C$13:$C$15,MATCH(C211,Parametros!$A$13:$A$15,0)),0))</f>
        <v/>
      </c>
      <c r="M211" s="27" t="str">
        <f aca="false">IF(A211="","",IF(C211="Wise Makers",F211,0))</f>
        <v/>
      </c>
    </row>
    <row r="212" customFormat="false" ht="15" hidden="false" customHeight="false" outlineLevel="0" collapsed="false">
      <c r="A212" s="25"/>
      <c r="F212" s="27"/>
      <c r="H212" s="27"/>
      <c r="I212" s="27"/>
      <c r="J212" s="27" t="str">
        <f aca="false">IF(A212="","",IF(C212="Wise Makers",F212*MIN(IF(G212="",Parametros!$B$5,G212),Parametros!$B$4),H212))</f>
        <v/>
      </c>
      <c r="K212" s="27" t="str">
        <f aca="false">IF(A212="","",I212*IFERROR(INDEX(Parametros!$B$13:$B$15,MATCH(C212,Parametros!$A$13:$A$15,0)),0))</f>
        <v/>
      </c>
      <c r="L212" s="27" t="str">
        <f aca="false">IF(A212="","",I212*IFERROR(INDEX(Parametros!$C$13:$C$15,MATCH(C212,Parametros!$A$13:$A$15,0)),0))</f>
        <v/>
      </c>
      <c r="M212" s="27" t="str">
        <f aca="false">IF(A212="","",IF(C212="Wise Makers",F212,0))</f>
        <v/>
      </c>
    </row>
    <row r="213" customFormat="false" ht="15" hidden="false" customHeight="false" outlineLevel="0" collapsed="false">
      <c r="A213" s="25"/>
      <c r="F213" s="27"/>
      <c r="H213" s="27"/>
      <c r="I213" s="27"/>
      <c r="J213" s="27" t="str">
        <f aca="false">IF(A213="","",IF(C213="Wise Makers",F213*MIN(IF(G213="",Parametros!$B$5,G213),Parametros!$B$4),H213))</f>
        <v/>
      </c>
      <c r="K213" s="27" t="str">
        <f aca="false">IF(A213="","",I213*IFERROR(INDEX(Parametros!$B$13:$B$15,MATCH(C213,Parametros!$A$13:$A$15,0)),0))</f>
        <v/>
      </c>
      <c r="L213" s="27" t="str">
        <f aca="false">IF(A213="","",I213*IFERROR(INDEX(Parametros!$C$13:$C$15,MATCH(C213,Parametros!$A$13:$A$15,0)),0))</f>
        <v/>
      </c>
      <c r="M213" s="27" t="str">
        <f aca="false">IF(A213="","",IF(C213="Wise Makers",F213,0))</f>
        <v/>
      </c>
    </row>
    <row r="214" customFormat="false" ht="15" hidden="false" customHeight="false" outlineLevel="0" collapsed="false">
      <c r="A214" s="25"/>
      <c r="F214" s="27"/>
      <c r="H214" s="27"/>
      <c r="I214" s="27"/>
      <c r="J214" s="27" t="str">
        <f aca="false">IF(A214="","",IF(C214="Wise Makers",F214*MIN(IF(G214="",Parametros!$B$5,G214),Parametros!$B$4),H214))</f>
        <v/>
      </c>
      <c r="K214" s="27" t="str">
        <f aca="false">IF(A214="","",I214*IFERROR(INDEX(Parametros!$B$13:$B$15,MATCH(C214,Parametros!$A$13:$A$15,0)),0))</f>
        <v/>
      </c>
      <c r="L214" s="27" t="str">
        <f aca="false">IF(A214="","",I214*IFERROR(INDEX(Parametros!$C$13:$C$15,MATCH(C214,Parametros!$A$13:$A$15,0)),0))</f>
        <v/>
      </c>
      <c r="M214" s="27" t="str">
        <f aca="false">IF(A214="","",IF(C214="Wise Makers",F214,0))</f>
        <v/>
      </c>
    </row>
    <row r="215" customFormat="false" ht="15" hidden="false" customHeight="false" outlineLevel="0" collapsed="false">
      <c r="A215" s="25"/>
      <c r="F215" s="27"/>
      <c r="H215" s="27"/>
      <c r="I215" s="27"/>
      <c r="J215" s="27" t="str">
        <f aca="false">IF(A215="","",IF(C215="Wise Makers",F215*MIN(IF(G215="",Parametros!$B$5,G215),Parametros!$B$4),H215))</f>
        <v/>
      </c>
      <c r="K215" s="27" t="str">
        <f aca="false">IF(A215="","",I215*IFERROR(INDEX(Parametros!$B$13:$B$15,MATCH(C215,Parametros!$A$13:$A$15,0)),0))</f>
        <v/>
      </c>
      <c r="L215" s="27" t="str">
        <f aca="false">IF(A215="","",I215*IFERROR(INDEX(Parametros!$C$13:$C$15,MATCH(C215,Parametros!$A$13:$A$15,0)),0))</f>
        <v/>
      </c>
      <c r="M215" s="27" t="str">
        <f aca="false">IF(A215="","",IF(C215="Wise Makers",F215,0))</f>
        <v/>
      </c>
    </row>
    <row r="216" customFormat="false" ht="15" hidden="false" customHeight="false" outlineLevel="0" collapsed="false">
      <c r="A216" s="25"/>
      <c r="F216" s="27"/>
      <c r="H216" s="27"/>
      <c r="I216" s="27"/>
      <c r="J216" s="27" t="str">
        <f aca="false">IF(A216="","",IF(C216="Wise Makers",F216*MIN(IF(G216="",Parametros!$B$5,G216),Parametros!$B$4),H216))</f>
        <v/>
      </c>
      <c r="K216" s="27" t="str">
        <f aca="false">IF(A216="","",I216*IFERROR(INDEX(Parametros!$B$13:$B$15,MATCH(C216,Parametros!$A$13:$A$15,0)),0))</f>
        <v/>
      </c>
      <c r="L216" s="27" t="str">
        <f aca="false">IF(A216="","",I216*IFERROR(INDEX(Parametros!$C$13:$C$15,MATCH(C216,Parametros!$A$13:$A$15,0)),0))</f>
        <v/>
      </c>
      <c r="M216" s="27" t="str">
        <f aca="false">IF(A216="","",IF(C216="Wise Makers",F216,0))</f>
        <v/>
      </c>
    </row>
    <row r="217" customFormat="false" ht="15" hidden="false" customHeight="false" outlineLevel="0" collapsed="false">
      <c r="A217" s="25"/>
      <c r="F217" s="27"/>
      <c r="H217" s="27"/>
      <c r="I217" s="27"/>
      <c r="J217" s="27" t="str">
        <f aca="false">IF(A217="","",IF(C217="Wise Makers",F217*MIN(IF(G217="",Parametros!$B$5,G217),Parametros!$B$4),H217))</f>
        <v/>
      </c>
      <c r="K217" s="27" t="str">
        <f aca="false">IF(A217="","",I217*IFERROR(INDEX(Parametros!$B$13:$B$15,MATCH(C217,Parametros!$A$13:$A$15,0)),0))</f>
        <v/>
      </c>
      <c r="L217" s="27" t="str">
        <f aca="false">IF(A217="","",I217*IFERROR(INDEX(Parametros!$C$13:$C$15,MATCH(C217,Parametros!$A$13:$A$15,0)),0))</f>
        <v/>
      </c>
      <c r="M217" s="27" t="str">
        <f aca="false">IF(A217="","",IF(C217="Wise Makers",F217,0))</f>
        <v/>
      </c>
    </row>
    <row r="218" customFormat="false" ht="15" hidden="false" customHeight="false" outlineLevel="0" collapsed="false">
      <c r="A218" s="25"/>
      <c r="F218" s="27"/>
      <c r="H218" s="27"/>
      <c r="I218" s="27"/>
      <c r="J218" s="27" t="str">
        <f aca="false">IF(A218="","",IF(C218="Wise Makers",F218*MIN(IF(G218="",Parametros!$B$5,G218),Parametros!$B$4),H218))</f>
        <v/>
      </c>
      <c r="K218" s="27" t="str">
        <f aca="false">IF(A218="","",I218*IFERROR(INDEX(Parametros!$B$13:$B$15,MATCH(C218,Parametros!$A$13:$A$15,0)),0))</f>
        <v/>
      </c>
      <c r="L218" s="27" t="str">
        <f aca="false">IF(A218="","",I218*IFERROR(INDEX(Parametros!$C$13:$C$15,MATCH(C218,Parametros!$A$13:$A$15,0)),0))</f>
        <v/>
      </c>
      <c r="M218" s="27" t="str">
        <f aca="false">IF(A218="","",IF(C218="Wise Makers",F218,0))</f>
        <v/>
      </c>
    </row>
    <row r="219" customFormat="false" ht="15" hidden="false" customHeight="false" outlineLevel="0" collapsed="false">
      <c r="A219" s="25"/>
      <c r="F219" s="27"/>
      <c r="H219" s="27"/>
      <c r="I219" s="27"/>
      <c r="J219" s="27" t="str">
        <f aca="false">IF(A219="","",IF(C219="Wise Makers",F219*MIN(IF(G219="",Parametros!$B$5,G219),Parametros!$B$4),H219))</f>
        <v/>
      </c>
      <c r="K219" s="27" t="str">
        <f aca="false">IF(A219="","",I219*IFERROR(INDEX(Parametros!$B$13:$B$15,MATCH(C219,Parametros!$A$13:$A$15,0)),0))</f>
        <v/>
      </c>
      <c r="L219" s="27" t="str">
        <f aca="false">IF(A219="","",I219*IFERROR(INDEX(Parametros!$C$13:$C$15,MATCH(C219,Parametros!$A$13:$A$15,0)),0))</f>
        <v/>
      </c>
      <c r="M219" s="27" t="str">
        <f aca="false">IF(A219="","",IF(C219="Wise Makers",F219,0))</f>
        <v/>
      </c>
    </row>
    <row r="220" customFormat="false" ht="15" hidden="false" customHeight="false" outlineLevel="0" collapsed="false">
      <c r="A220" s="25"/>
      <c r="F220" s="27"/>
      <c r="H220" s="27"/>
      <c r="I220" s="27"/>
      <c r="J220" s="27" t="str">
        <f aca="false">IF(A220="","",IF(C220="Wise Makers",F220*MIN(IF(G220="",Parametros!$B$5,G220),Parametros!$B$4),H220))</f>
        <v/>
      </c>
      <c r="K220" s="27" t="str">
        <f aca="false">IF(A220="","",I220*IFERROR(INDEX(Parametros!$B$13:$B$15,MATCH(C220,Parametros!$A$13:$A$15,0)),0))</f>
        <v/>
      </c>
      <c r="L220" s="27" t="str">
        <f aca="false">IF(A220="","",I220*IFERROR(INDEX(Parametros!$C$13:$C$15,MATCH(C220,Parametros!$A$13:$A$15,0)),0))</f>
        <v/>
      </c>
      <c r="M220" s="27" t="str">
        <f aca="false">IF(A220="","",IF(C220="Wise Makers",F220,0))</f>
        <v/>
      </c>
    </row>
    <row r="221" customFormat="false" ht="15" hidden="false" customHeight="false" outlineLevel="0" collapsed="false">
      <c r="A221" s="25"/>
      <c r="F221" s="27"/>
      <c r="H221" s="27"/>
      <c r="I221" s="27"/>
      <c r="J221" s="27" t="str">
        <f aca="false">IF(A221="","",IF(C221="Wise Makers",F221*MIN(IF(G221="",Parametros!$B$5,G221),Parametros!$B$4),H221))</f>
        <v/>
      </c>
      <c r="K221" s="27" t="str">
        <f aca="false">IF(A221="","",I221*IFERROR(INDEX(Parametros!$B$13:$B$15,MATCH(C221,Parametros!$A$13:$A$15,0)),0))</f>
        <v/>
      </c>
      <c r="L221" s="27" t="str">
        <f aca="false">IF(A221="","",I221*IFERROR(INDEX(Parametros!$C$13:$C$15,MATCH(C221,Parametros!$A$13:$A$15,0)),0))</f>
        <v/>
      </c>
      <c r="M221" s="27" t="str">
        <f aca="false">IF(A221="","",IF(C221="Wise Makers",F221,0))</f>
        <v/>
      </c>
    </row>
    <row r="222" customFormat="false" ht="15" hidden="false" customHeight="false" outlineLevel="0" collapsed="false">
      <c r="A222" s="25"/>
      <c r="F222" s="27"/>
      <c r="H222" s="27"/>
      <c r="I222" s="27"/>
      <c r="J222" s="27" t="str">
        <f aca="false">IF(A222="","",IF(C222="Wise Makers",F222*MIN(IF(G222="",Parametros!$B$5,G222),Parametros!$B$4),H222))</f>
        <v/>
      </c>
      <c r="K222" s="27" t="str">
        <f aca="false">IF(A222="","",I222*IFERROR(INDEX(Parametros!$B$13:$B$15,MATCH(C222,Parametros!$A$13:$A$15,0)),0))</f>
        <v/>
      </c>
      <c r="L222" s="27" t="str">
        <f aca="false">IF(A222="","",I222*IFERROR(INDEX(Parametros!$C$13:$C$15,MATCH(C222,Parametros!$A$13:$A$15,0)),0))</f>
        <v/>
      </c>
      <c r="M222" s="27" t="str">
        <f aca="false">IF(A222="","",IF(C222="Wise Makers",F222,0))</f>
        <v/>
      </c>
    </row>
    <row r="223" customFormat="false" ht="15" hidden="false" customHeight="false" outlineLevel="0" collapsed="false">
      <c r="A223" s="25"/>
      <c r="F223" s="27"/>
      <c r="H223" s="27"/>
      <c r="I223" s="27"/>
      <c r="J223" s="27" t="str">
        <f aca="false">IF(A223="","",IF(C223="Wise Makers",F223*MIN(IF(G223="",Parametros!$B$5,G223),Parametros!$B$4),H223))</f>
        <v/>
      </c>
      <c r="K223" s="27" t="str">
        <f aca="false">IF(A223="","",I223*IFERROR(INDEX(Parametros!$B$13:$B$15,MATCH(C223,Parametros!$A$13:$A$15,0)),0))</f>
        <v/>
      </c>
      <c r="L223" s="27" t="str">
        <f aca="false">IF(A223="","",I223*IFERROR(INDEX(Parametros!$C$13:$C$15,MATCH(C223,Parametros!$A$13:$A$15,0)),0))</f>
        <v/>
      </c>
      <c r="M223" s="27" t="str">
        <f aca="false">IF(A223="","",IF(C223="Wise Makers",F223,0))</f>
        <v/>
      </c>
    </row>
    <row r="224" customFormat="false" ht="15" hidden="false" customHeight="false" outlineLevel="0" collapsed="false">
      <c r="A224" s="25"/>
      <c r="F224" s="27"/>
      <c r="H224" s="27"/>
      <c r="I224" s="27"/>
      <c r="J224" s="27" t="str">
        <f aca="false">IF(A224="","",IF(C224="Wise Makers",F224*MIN(IF(G224="",Parametros!$B$5,G224),Parametros!$B$4),H224))</f>
        <v/>
      </c>
      <c r="K224" s="27" t="str">
        <f aca="false">IF(A224="","",I224*IFERROR(INDEX(Parametros!$B$13:$B$15,MATCH(C224,Parametros!$A$13:$A$15,0)),0))</f>
        <v/>
      </c>
      <c r="L224" s="27" t="str">
        <f aca="false">IF(A224="","",I224*IFERROR(INDEX(Parametros!$C$13:$C$15,MATCH(C224,Parametros!$A$13:$A$15,0)),0))</f>
        <v/>
      </c>
      <c r="M224" s="27" t="str">
        <f aca="false">IF(A224="","",IF(C224="Wise Makers",F224,0))</f>
        <v/>
      </c>
    </row>
    <row r="225" customFormat="false" ht="15" hidden="false" customHeight="false" outlineLevel="0" collapsed="false">
      <c r="A225" s="25"/>
      <c r="F225" s="27"/>
      <c r="H225" s="27"/>
      <c r="I225" s="27"/>
      <c r="J225" s="27" t="str">
        <f aca="false">IF(A225="","",IF(C225="Wise Makers",F225*MIN(IF(G225="",Parametros!$B$5,G225),Parametros!$B$4),H225))</f>
        <v/>
      </c>
      <c r="K225" s="27" t="str">
        <f aca="false">IF(A225="","",I225*IFERROR(INDEX(Parametros!$B$13:$B$15,MATCH(C225,Parametros!$A$13:$A$15,0)),0))</f>
        <v/>
      </c>
      <c r="L225" s="27" t="str">
        <f aca="false">IF(A225="","",I225*IFERROR(INDEX(Parametros!$C$13:$C$15,MATCH(C225,Parametros!$A$13:$A$15,0)),0))</f>
        <v/>
      </c>
      <c r="M225" s="27" t="str">
        <f aca="false">IF(A225="","",IF(C225="Wise Makers",F225,0))</f>
        <v/>
      </c>
    </row>
    <row r="226" customFormat="false" ht="15" hidden="false" customHeight="false" outlineLevel="0" collapsed="false">
      <c r="A226" s="25"/>
      <c r="F226" s="27"/>
      <c r="H226" s="27"/>
      <c r="I226" s="27"/>
      <c r="J226" s="27" t="str">
        <f aca="false">IF(A226="","",IF(C226="Wise Makers",F226*MIN(IF(G226="",Parametros!$B$5,G226),Parametros!$B$4),H226))</f>
        <v/>
      </c>
      <c r="K226" s="27" t="str">
        <f aca="false">IF(A226="","",I226*IFERROR(INDEX(Parametros!$B$13:$B$15,MATCH(C226,Parametros!$A$13:$A$15,0)),0))</f>
        <v/>
      </c>
      <c r="L226" s="27" t="str">
        <f aca="false">IF(A226="","",I226*IFERROR(INDEX(Parametros!$C$13:$C$15,MATCH(C226,Parametros!$A$13:$A$15,0)),0))</f>
        <v/>
      </c>
      <c r="M226" s="27" t="str">
        <f aca="false">IF(A226="","",IF(C226="Wise Makers",F226,0))</f>
        <v/>
      </c>
    </row>
    <row r="227" customFormat="false" ht="15" hidden="false" customHeight="false" outlineLevel="0" collapsed="false">
      <c r="A227" s="25"/>
      <c r="F227" s="27"/>
      <c r="H227" s="27"/>
      <c r="I227" s="27"/>
      <c r="J227" s="27" t="str">
        <f aca="false">IF(A227="","",IF(C227="Wise Makers",F227*MIN(IF(G227="",Parametros!$B$5,G227),Parametros!$B$4),H227))</f>
        <v/>
      </c>
      <c r="K227" s="27" t="str">
        <f aca="false">IF(A227="","",I227*IFERROR(INDEX(Parametros!$B$13:$B$15,MATCH(C227,Parametros!$A$13:$A$15,0)),0))</f>
        <v/>
      </c>
      <c r="L227" s="27" t="str">
        <f aca="false">IF(A227="","",I227*IFERROR(INDEX(Parametros!$C$13:$C$15,MATCH(C227,Parametros!$A$13:$A$15,0)),0))</f>
        <v/>
      </c>
      <c r="M227" s="27" t="str">
        <f aca="false">IF(A227="","",IF(C227="Wise Makers",F227,0))</f>
        <v/>
      </c>
    </row>
    <row r="228" customFormat="false" ht="15" hidden="false" customHeight="false" outlineLevel="0" collapsed="false">
      <c r="A228" s="25"/>
      <c r="F228" s="27"/>
      <c r="H228" s="27"/>
      <c r="I228" s="27"/>
      <c r="J228" s="27" t="str">
        <f aca="false">IF(A228="","",IF(C228="Wise Makers",F228*MIN(IF(G228="",Parametros!$B$5,G228),Parametros!$B$4),H228))</f>
        <v/>
      </c>
      <c r="K228" s="27" t="str">
        <f aca="false">IF(A228="","",I228*IFERROR(INDEX(Parametros!$B$13:$B$15,MATCH(C228,Parametros!$A$13:$A$15,0)),0))</f>
        <v/>
      </c>
      <c r="L228" s="27" t="str">
        <f aca="false">IF(A228="","",I228*IFERROR(INDEX(Parametros!$C$13:$C$15,MATCH(C228,Parametros!$A$13:$A$15,0)),0))</f>
        <v/>
      </c>
      <c r="M228" s="27" t="str">
        <f aca="false">IF(A228="","",IF(C228="Wise Makers",F228,0))</f>
        <v/>
      </c>
    </row>
    <row r="229" customFormat="false" ht="15" hidden="false" customHeight="false" outlineLevel="0" collapsed="false">
      <c r="A229" s="25"/>
      <c r="F229" s="27"/>
      <c r="H229" s="27"/>
      <c r="I229" s="27"/>
      <c r="J229" s="27" t="str">
        <f aca="false">IF(A229="","",IF(C229="Wise Makers",F229*MIN(IF(G229="",Parametros!$B$5,G229),Parametros!$B$4),H229))</f>
        <v/>
      </c>
      <c r="K229" s="27" t="str">
        <f aca="false">IF(A229="","",I229*IFERROR(INDEX(Parametros!$B$13:$B$15,MATCH(C229,Parametros!$A$13:$A$15,0)),0))</f>
        <v/>
      </c>
      <c r="L229" s="27" t="str">
        <f aca="false">IF(A229="","",I229*IFERROR(INDEX(Parametros!$C$13:$C$15,MATCH(C229,Parametros!$A$13:$A$15,0)),0))</f>
        <v/>
      </c>
      <c r="M229" s="27" t="str">
        <f aca="false">IF(A229="","",IF(C229="Wise Makers",F229,0))</f>
        <v/>
      </c>
    </row>
    <row r="230" customFormat="false" ht="15" hidden="false" customHeight="false" outlineLevel="0" collapsed="false">
      <c r="A230" s="25"/>
      <c r="F230" s="27"/>
      <c r="H230" s="27"/>
      <c r="I230" s="27"/>
      <c r="J230" s="27" t="str">
        <f aca="false">IF(A230="","",IF(C230="Wise Makers",F230*MIN(IF(G230="",Parametros!$B$5,G230),Parametros!$B$4),H230))</f>
        <v/>
      </c>
      <c r="K230" s="27" t="str">
        <f aca="false">IF(A230="","",I230*IFERROR(INDEX(Parametros!$B$13:$B$15,MATCH(C230,Parametros!$A$13:$A$15,0)),0))</f>
        <v/>
      </c>
      <c r="L230" s="27" t="str">
        <f aca="false">IF(A230="","",I230*IFERROR(INDEX(Parametros!$C$13:$C$15,MATCH(C230,Parametros!$A$13:$A$15,0)),0))</f>
        <v/>
      </c>
      <c r="M230" s="27" t="str">
        <f aca="false">IF(A230="","",IF(C230="Wise Makers",F230,0))</f>
        <v/>
      </c>
    </row>
    <row r="231" customFormat="false" ht="15" hidden="false" customHeight="false" outlineLevel="0" collapsed="false">
      <c r="A231" s="25"/>
      <c r="F231" s="27"/>
      <c r="H231" s="27"/>
      <c r="I231" s="27"/>
      <c r="J231" s="27" t="str">
        <f aca="false">IF(A231="","",IF(C231="Wise Makers",F231*MIN(IF(G231="",Parametros!$B$5,G231),Parametros!$B$4),H231))</f>
        <v/>
      </c>
      <c r="K231" s="27" t="str">
        <f aca="false">IF(A231="","",I231*IFERROR(INDEX(Parametros!$B$13:$B$15,MATCH(C231,Parametros!$A$13:$A$15,0)),0))</f>
        <v/>
      </c>
      <c r="L231" s="27" t="str">
        <f aca="false">IF(A231="","",I231*IFERROR(INDEX(Parametros!$C$13:$C$15,MATCH(C231,Parametros!$A$13:$A$15,0)),0))</f>
        <v/>
      </c>
      <c r="M231" s="27" t="str">
        <f aca="false">IF(A231="","",IF(C231="Wise Makers",F231,0))</f>
        <v/>
      </c>
    </row>
    <row r="232" customFormat="false" ht="15" hidden="false" customHeight="false" outlineLevel="0" collapsed="false">
      <c r="A232" s="25"/>
      <c r="F232" s="27"/>
      <c r="H232" s="27"/>
      <c r="I232" s="27"/>
      <c r="J232" s="27" t="str">
        <f aca="false">IF(A232="","",IF(C232="Wise Makers",F232*MIN(IF(G232="",Parametros!$B$5,G232),Parametros!$B$4),H232))</f>
        <v/>
      </c>
      <c r="K232" s="27" t="str">
        <f aca="false">IF(A232="","",I232*IFERROR(INDEX(Parametros!$B$13:$B$15,MATCH(C232,Parametros!$A$13:$A$15,0)),0))</f>
        <v/>
      </c>
      <c r="L232" s="27" t="str">
        <f aca="false">IF(A232="","",I232*IFERROR(INDEX(Parametros!$C$13:$C$15,MATCH(C232,Parametros!$A$13:$A$15,0)),0))</f>
        <v/>
      </c>
      <c r="M232" s="27" t="str">
        <f aca="false">IF(A232="","",IF(C232="Wise Makers",F232,0))</f>
        <v/>
      </c>
    </row>
    <row r="233" customFormat="false" ht="15" hidden="false" customHeight="false" outlineLevel="0" collapsed="false">
      <c r="A233" s="25"/>
      <c r="F233" s="27"/>
      <c r="H233" s="27"/>
      <c r="I233" s="27"/>
      <c r="J233" s="27" t="str">
        <f aca="false">IF(A233="","",IF(C233="Wise Makers",F233*MIN(IF(G233="",Parametros!$B$5,G233),Parametros!$B$4),H233))</f>
        <v/>
      </c>
      <c r="K233" s="27" t="str">
        <f aca="false">IF(A233="","",I233*IFERROR(INDEX(Parametros!$B$13:$B$15,MATCH(C233,Parametros!$A$13:$A$15,0)),0))</f>
        <v/>
      </c>
      <c r="L233" s="27" t="str">
        <f aca="false">IF(A233="","",I233*IFERROR(INDEX(Parametros!$C$13:$C$15,MATCH(C233,Parametros!$A$13:$A$15,0)),0))</f>
        <v/>
      </c>
      <c r="M233" s="27" t="str">
        <f aca="false">IF(A233="","",IF(C233="Wise Makers",F233,0))</f>
        <v/>
      </c>
    </row>
    <row r="234" customFormat="false" ht="15" hidden="false" customHeight="false" outlineLevel="0" collapsed="false">
      <c r="A234" s="25"/>
      <c r="F234" s="27"/>
      <c r="H234" s="27"/>
      <c r="I234" s="27"/>
      <c r="J234" s="27" t="str">
        <f aca="false">IF(A234="","",IF(C234="Wise Makers",F234*MIN(IF(G234="",Parametros!$B$5,G234),Parametros!$B$4),H234))</f>
        <v/>
      </c>
      <c r="K234" s="27" t="str">
        <f aca="false">IF(A234="","",I234*IFERROR(INDEX(Parametros!$B$13:$B$15,MATCH(C234,Parametros!$A$13:$A$15,0)),0))</f>
        <v/>
      </c>
      <c r="L234" s="27" t="str">
        <f aca="false">IF(A234="","",I234*IFERROR(INDEX(Parametros!$C$13:$C$15,MATCH(C234,Parametros!$A$13:$A$15,0)),0))</f>
        <v/>
      </c>
      <c r="M234" s="27" t="str">
        <f aca="false">IF(A234="","",IF(C234="Wise Makers",F234,0))</f>
        <v/>
      </c>
    </row>
    <row r="235" customFormat="false" ht="15" hidden="false" customHeight="false" outlineLevel="0" collapsed="false">
      <c r="A235" s="25"/>
      <c r="F235" s="27"/>
      <c r="H235" s="27"/>
      <c r="I235" s="27"/>
      <c r="J235" s="27" t="str">
        <f aca="false">IF(A235="","",IF(C235="Wise Makers",F235*MIN(IF(G235="",Parametros!$B$5,G235),Parametros!$B$4),H235))</f>
        <v/>
      </c>
      <c r="K235" s="27" t="str">
        <f aca="false">IF(A235="","",I235*IFERROR(INDEX(Parametros!$B$13:$B$15,MATCH(C235,Parametros!$A$13:$A$15,0)),0))</f>
        <v/>
      </c>
      <c r="L235" s="27" t="str">
        <f aca="false">IF(A235="","",I235*IFERROR(INDEX(Parametros!$C$13:$C$15,MATCH(C235,Parametros!$A$13:$A$15,0)),0))</f>
        <v/>
      </c>
      <c r="M235" s="27" t="str">
        <f aca="false">IF(A235="","",IF(C235="Wise Makers",F235,0))</f>
        <v/>
      </c>
    </row>
    <row r="236" customFormat="false" ht="15" hidden="false" customHeight="false" outlineLevel="0" collapsed="false">
      <c r="A236" s="25"/>
      <c r="F236" s="27"/>
      <c r="H236" s="27"/>
      <c r="I236" s="27"/>
      <c r="J236" s="27" t="str">
        <f aca="false">IF(A236="","",IF(C236="Wise Makers",F236*MIN(IF(G236="",Parametros!$B$5,G236),Parametros!$B$4),H236))</f>
        <v/>
      </c>
      <c r="K236" s="27" t="str">
        <f aca="false">IF(A236="","",I236*IFERROR(INDEX(Parametros!$B$13:$B$15,MATCH(C236,Parametros!$A$13:$A$15,0)),0))</f>
        <v/>
      </c>
      <c r="L236" s="27" t="str">
        <f aca="false">IF(A236="","",I236*IFERROR(INDEX(Parametros!$C$13:$C$15,MATCH(C236,Parametros!$A$13:$A$15,0)),0))</f>
        <v/>
      </c>
      <c r="M236" s="27" t="str">
        <f aca="false">IF(A236="","",IF(C236="Wise Makers",F236,0))</f>
        <v/>
      </c>
    </row>
    <row r="237" customFormat="false" ht="15" hidden="false" customHeight="false" outlineLevel="0" collapsed="false">
      <c r="A237" s="25"/>
      <c r="F237" s="27"/>
      <c r="H237" s="27"/>
      <c r="I237" s="27"/>
      <c r="J237" s="27" t="str">
        <f aca="false">IF(A237="","",IF(C237="Wise Makers",F237*MIN(IF(G237="",Parametros!$B$5,G237),Parametros!$B$4),H237))</f>
        <v/>
      </c>
      <c r="K237" s="27" t="str">
        <f aca="false">IF(A237="","",I237*IFERROR(INDEX(Parametros!$B$13:$B$15,MATCH(C237,Parametros!$A$13:$A$15,0)),0))</f>
        <v/>
      </c>
      <c r="L237" s="27" t="str">
        <f aca="false">IF(A237="","",I237*IFERROR(INDEX(Parametros!$C$13:$C$15,MATCH(C237,Parametros!$A$13:$A$15,0)),0))</f>
        <v/>
      </c>
      <c r="M237" s="27" t="str">
        <f aca="false">IF(A237="","",IF(C237="Wise Makers",F237,0))</f>
        <v/>
      </c>
    </row>
    <row r="238" customFormat="false" ht="15" hidden="false" customHeight="false" outlineLevel="0" collapsed="false">
      <c r="A238" s="25"/>
      <c r="F238" s="27"/>
      <c r="H238" s="27"/>
      <c r="I238" s="27"/>
      <c r="J238" s="27" t="str">
        <f aca="false">IF(A238="","",IF(C238="Wise Makers",F238*MIN(IF(G238="",Parametros!$B$5,G238),Parametros!$B$4),H238))</f>
        <v/>
      </c>
      <c r="K238" s="27" t="str">
        <f aca="false">IF(A238="","",I238*IFERROR(INDEX(Parametros!$B$13:$B$15,MATCH(C238,Parametros!$A$13:$A$15,0)),0))</f>
        <v/>
      </c>
      <c r="L238" s="27" t="str">
        <f aca="false">IF(A238="","",I238*IFERROR(INDEX(Parametros!$C$13:$C$15,MATCH(C238,Parametros!$A$13:$A$15,0)),0))</f>
        <v/>
      </c>
      <c r="M238" s="27" t="str">
        <f aca="false">IF(A238="","",IF(C238="Wise Makers",F238,0))</f>
        <v/>
      </c>
    </row>
    <row r="239" customFormat="false" ht="15" hidden="false" customHeight="false" outlineLevel="0" collapsed="false">
      <c r="A239" s="25"/>
      <c r="F239" s="27"/>
      <c r="H239" s="27"/>
      <c r="I239" s="27"/>
      <c r="J239" s="27" t="str">
        <f aca="false">IF(A239="","",IF(C239="Wise Makers",F239*MIN(IF(G239="",Parametros!$B$5,G239),Parametros!$B$4),H239))</f>
        <v/>
      </c>
      <c r="K239" s="27" t="str">
        <f aca="false">IF(A239="","",I239*IFERROR(INDEX(Parametros!$B$13:$B$15,MATCH(C239,Parametros!$A$13:$A$15,0)),0))</f>
        <v/>
      </c>
      <c r="L239" s="27" t="str">
        <f aca="false">IF(A239="","",I239*IFERROR(INDEX(Parametros!$C$13:$C$15,MATCH(C239,Parametros!$A$13:$A$15,0)),0))</f>
        <v/>
      </c>
      <c r="M239" s="27" t="str">
        <f aca="false">IF(A239="","",IF(C239="Wise Makers",F239,0))</f>
        <v/>
      </c>
    </row>
    <row r="240" customFormat="false" ht="15" hidden="false" customHeight="false" outlineLevel="0" collapsed="false">
      <c r="A240" s="25"/>
      <c r="F240" s="27"/>
      <c r="H240" s="27"/>
      <c r="I240" s="27"/>
      <c r="J240" s="27" t="str">
        <f aca="false">IF(A240="","",IF(C240="Wise Makers",F240*MIN(IF(G240="",Parametros!$B$5,G240),Parametros!$B$4),H240))</f>
        <v/>
      </c>
      <c r="K240" s="27" t="str">
        <f aca="false">IF(A240="","",I240*IFERROR(INDEX(Parametros!$B$13:$B$15,MATCH(C240,Parametros!$A$13:$A$15,0)),0))</f>
        <v/>
      </c>
      <c r="L240" s="27" t="str">
        <f aca="false">IF(A240="","",I240*IFERROR(INDEX(Parametros!$C$13:$C$15,MATCH(C240,Parametros!$A$13:$A$15,0)),0))</f>
        <v/>
      </c>
      <c r="M240" s="27" t="str">
        <f aca="false">IF(A240="","",IF(C240="Wise Makers",F240,0))</f>
        <v/>
      </c>
    </row>
    <row r="241" customFormat="false" ht="15" hidden="false" customHeight="false" outlineLevel="0" collapsed="false">
      <c r="A241" s="25"/>
      <c r="F241" s="27"/>
      <c r="H241" s="27"/>
      <c r="I241" s="27"/>
      <c r="J241" s="27" t="str">
        <f aca="false">IF(A241="","",IF(C241="Wise Makers",F241*MIN(IF(G241="",Parametros!$B$5,G241),Parametros!$B$4),H241))</f>
        <v/>
      </c>
      <c r="K241" s="27" t="str">
        <f aca="false">IF(A241="","",I241*IFERROR(INDEX(Parametros!$B$13:$B$15,MATCH(C241,Parametros!$A$13:$A$15,0)),0))</f>
        <v/>
      </c>
      <c r="L241" s="27" t="str">
        <f aca="false">IF(A241="","",I241*IFERROR(INDEX(Parametros!$C$13:$C$15,MATCH(C241,Parametros!$A$13:$A$15,0)),0))</f>
        <v/>
      </c>
      <c r="M241" s="27" t="str">
        <f aca="false">IF(A241="","",IF(C241="Wise Makers",F241,0))</f>
        <v/>
      </c>
    </row>
    <row r="242" customFormat="false" ht="15" hidden="false" customHeight="false" outlineLevel="0" collapsed="false">
      <c r="A242" s="25"/>
      <c r="F242" s="27"/>
      <c r="H242" s="27"/>
      <c r="I242" s="27"/>
      <c r="J242" s="27" t="str">
        <f aca="false">IF(A242="","",IF(C242="Wise Makers",F242*MIN(IF(G242="",Parametros!$B$5,G242),Parametros!$B$4),H242))</f>
        <v/>
      </c>
      <c r="K242" s="27" t="str">
        <f aca="false">IF(A242="","",I242*IFERROR(INDEX(Parametros!$B$13:$B$15,MATCH(C242,Parametros!$A$13:$A$15,0)),0))</f>
        <v/>
      </c>
      <c r="L242" s="27" t="str">
        <f aca="false">IF(A242="","",I242*IFERROR(INDEX(Parametros!$C$13:$C$15,MATCH(C242,Parametros!$A$13:$A$15,0)),0))</f>
        <v/>
      </c>
      <c r="M242" s="27" t="str">
        <f aca="false">IF(A242="","",IF(C242="Wise Makers",F242,0))</f>
        <v/>
      </c>
    </row>
    <row r="243" customFormat="false" ht="15" hidden="false" customHeight="false" outlineLevel="0" collapsed="false">
      <c r="A243" s="25"/>
      <c r="F243" s="27"/>
      <c r="H243" s="27"/>
      <c r="I243" s="27"/>
      <c r="J243" s="27" t="str">
        <f aca="false">IF(A243="","",IF(C243="Wise Makers",F243*MIN(IF(G243="",Parametros!$B$5,G243),Parametros!$B$4),H243))</f>
        <v/>
      </c>
      <c r="K243" s="27" t="str">
        <f aca="false">IF(A243="","",I243*IFERROR(INDEX(Parametros!$B$13:$B$15,MATCH(C243,Parametros!$A$13:$A$15,0)),0))</f>
        <v/>
      </c>
      <c r="L243" s="27" t="str">
        <f aca="false">IF(A243="","",I243*IFERROR(INDEX(Parametros!$C$13:$C$15,MATCH(C243,Parametros!$A$13:$A$15,0)),0))</f>
        <v/>
      </c>
      <c r="M243" s="27" t="str">
        <f aca="false">IF(A243="","",IF(C243="Wise Makers",F243,0))</f>
        <v/>
      </c>
    </row>
    <row r="244" customFormat="false" ht="15" hidden="false" customHeight="false" outlineLevel="0" collapsed="false">
      <c r="A244" s="25"/>
      <c r="F244" s="27"/>
      <c r="H244" s="27"/>
      <c r="I244" s="27"/>
      <c r="J244" s="27" t="str">
        <f aca="false">IF(A244="","",IF(C244="Wise Makers",F244*MIN(IF(G244="",Parametros!$B$5,G244),Parametros!$B$4),H244))</f>
        <v/>
      </c>
      <c r="K244" s="27" t="str">
        <f aca="false">IF(A244="","",I244*IFERROR(INDEX(Parametros!$B$13:$B$15,MATCH(C244,Parametros!$A$13:$A$15,0)),0))</f>
        <v/>
      </c>
      <c r="L244" s="27" t="str">
        <f aca="false">IF(A244="","",I244*IFERROR(INDEX(Parametros!$C$13:$C$15,MATCH(C244,Parametros!$A$13:$A$15,0)),0))</f>
        <v/>
      </c>
      <c r="M244" s="27" t="str">
        <f aca="false">IF(A244="","",IF(C244="Wise Makers",F244,0))</f>
        <v/>
      </c>
    </row>
    <row r="245" customFormat="false" ht="15" hidden="false" customHeight="false" outlineLevel="0" collapsed="false">
      <c r="A245" s="25"/>
      <c r="F245" s="27"/>
      <c r="H245" s="27"/>
      <c r="I245" s="27"/>
      <c r="J245" s="27" t="str">
        <f aca="false">IF(A245="","",IF(C245="Wise Makers",F245*MIN(IF(G245="",Parametros!$B$5,G245),Parametros!$B$4),H245))</f>
        <v/>
      </c>
      <c r="K245" s="27" t="str">
        <f aca="false">IF(A245="","",I245*IFERROR(INDEX(Parametros!$B$13:$B$15,MATCH(C245,Parametros!$A$13:$A$15,0)),0))</f>
        <v/>
      </c>
      <c r="L245" s="27" t="str">
        <f aca="false">IF(A245="","",I245*IFERROR(INDEX(Parametros!$C$13:$C$15,MATCH(C245,Parametros!$A$13:$A$15,0)),0))</f>
        <v/>
      </c>
      <c r="M245" s="27" t="str">
        <f aca="false">IF(A245="","",IF(C245="Wise Makers",F245,0))</f>
        <v/>
      </c>
    </row>
    <row r="246" customFormat="false" ht="15" hidden="false" customHeight="false" outlineLevel="0" collapsed="false">
      <c r="A246" s="25"/>
      <c r="F246" s="27"/>
      <c r="H246" s="27"/>
      <c r="I246" s="27"/>
      <c r="J246" s="27" t="str">
        <f aca="false">IF(A246="","",IF(C246="Wise Makers",F246*MIN(IF(G246="",Parametros!$B$5,G246),Parametros!$B$4),H246))</f>
        <v/>
      </c>
      <c r="K246" s="27" t="str">
        <f aca="false">IF(A246="","",I246*IFERROR(INDEX(Parametros!$B$13:$B$15,MATCH(C246,Parametros!$A$13:$A$15,0)),0))</f>
        <v/>
      </c>
      <c r="L246" s="27" t="str">
        <f aca="false">IF(A246="","",I246*IFERROR(INDEX(Parametros!$C$13:$C$15,MATCH(C246,Parametros!$A$13:$A$15,0)),0))</f>
        <v/>
      </c>
      <c r="M246" s="27" t="str">
        <f aca="false">IF(A246="","",IF(C246="Wise Makers",F246,0))</f>
        <v/>
      </c>
    </row>
    <row r="247" customFormat="false" ht="15" hidden="false" customHeight="false" outlineLevel="0" collapsed="false">
      <c r="A247" s="25"/>
      <c r="F247" s="27"/>
      <c r="H247" s="27"/>
      <c r="I247" s="27"/>
      <c r="J247" s="27" t="str">
        <f aca="false">IF(A247="","",IF(C247="Wise Makers",F247*MIN(IF(G247="",Parametros!$B$5,G247),Parametros!$B$4),H247))</f>
        <v/>
      </c>
      <c r="K247" s="27" t="str">
        <f aca="false">IF(A247="","",I247*IFERROR(INDEX(Parametros!$B$13:$B$15,MATCH(C247,Parametros!$A$13:$A$15,0)),0))</f>
        <v/>
      </c>
      <c r="L247" s="27" t="str">
        <f aca="false">IF(A247="","",I247*IFERROR(INDEX(Parametros!$C$13:$C$15,MATCH(C247,Parametros!$A$13:$A$15,0)),0))</f>
        <v/>
      </c>
      <c r="M247" s="27" t="str">
        <f aca="false">IF(A247="","",IF(C247="Wise Makers",F247,0))</f>
        <v/>
      </c>
    </row>
    <row r="248" customFormat="false" ht="15" hidden="false" customHeight="false" outlineLevel="0" collapsed="false">
      <c r="A248" s="25"/>
      <c r="F248" s="27"/>
      <c r="H248" s="27"/>
      <c r="I248" s="27"/>
      <c r="J248" s="27" t="str">
        <f aca="false">IF(A248="","",IF(C248="Wise Makers",F248*MIN(IF(G248="",Parametros!$B$5,G248),Parametros!$B$4),H248))</f>
        <v/>
      </c>
      <c r="K248" s="27" t="str">
        <f aca="false">IF(A248="","",I248*IFERROR(INDEX(Parametros!$B$13:$B$15,MATCH(C248,Parametros!$A$13:$A$15,0)),0))</f>
        <v/>
      </c>
      <c r="L248" s="27" t="str">
        <f aca="false">IF(A248="","",I248*IFERROR(INDEX(Parametros!$C$13:$C$15,MATCH(C248,Parametros!$A$13:$A$15,0)),0))</f>
        <v/>
      </c>
      <c r="M248" s="27" t="str">
        <f aca="false">IF(A248="","",IF(C248="Wise Makers",F248,0))</f>
        <v/>
      </c>
    </row>
    <row r="249" customFormat="false" ht="15" hidden="false" customHeight="false" outlineLevel="0" collapsed="false">
      <c r="A249" s="25"/>
      <c r="F249" s="27"/>
      <c r="H249" s="27"/>
      <c r="I249" s="27"/>
      <c r="J249" s="27" t="str">
        <f aca="false">IF(A249="","",IF(C249="Wise Makers",F249*MIN(IF(G249="",Parametros!$B$5,G249),Parametros!$B$4),H249))</f>
        <v/>
      </c>
      <c r="K249" s="27" t="str">
        <f aca="false">IF(A249="","",I249*IFERROR(INDEX(Parametros!$B$13:$B$15,MATCH(C249,Parametros!$A$13:$A$15,0)),0))</f>
        <v/>
      </c>
      <c r="L249" s="27" t="str">
        <f aca="false">IF(A249="","",I249*IFERROR(INDEX(Parametros!$C$13:$C$15,MATCH(C249,Parametros!$A$13:$A$15,0)),0))</f>
        <v/>
      </c>
      <c r="M249" s="27" t="str">
        <f aca="false">IF(A249="","",IF(C249="Wise Makers",F249,0))</f>
        <v/>
      </c>
    </row>
    <row r="250" customFormat="false" ht="15" hidden="false" customHeight="false" outlineLevel="0" collapsed="false">
      <c r="A250" s="25"/>
      <c r="F250" s="27"/>
      <c r="H250" s="27"/>
      <c r="I250" s="27"/>
      <c r="J250" s="27" t="str">
        <f aca="false">IF(A250="","",IF(C250="Wise Makers",F250*MIN(IF(G250="",Parametros!$B$5,G250),Parametros!$B$4),H250))</f>
        <v/>
      </c>
      <c r="K250" s="27" t="str">
        <f aca="false">IF(A250="","",I250*IFERROR(INDEX(Parametros!$B$13:$B$15,MATCH(C250,Parametros!$A$13:$A$15,0)),0))</f>
        <v/>
      </c>
      <c r="L250" s="27" t="str">
        <f aca="false">IF(A250="","",I250*IFERROR(INDEX(Parametros!$C$13:$C$15,MATCH(C250,Parametros!$A$13:$A$15,0)),0))</f>
        <v/>
      </c>
      <c r="M250" s="27" t="str">
        <f aca="false">IF(A250="","",IF(C250="Wise Makers",F250,0))</f>
        <v/>
      </c>
    </row>
    <row r="251" customFormat="false" ht="15" hidden="false" customHeight="false" outlineLevel="0" collapsed="false">
      <c r="A251" s="25"/>
      <c r="F251" s="27"/>
      <c r="H251" s="27"/>
      <c r="I251" s="27"/>
      <c r="J251" s="27" t="str">
        <f aca="false">IF(A251="","",IF(C251="Wise Makers",F251*MIN(IF(G251="",Parametros!$B$5,G251),Parametros!$B$4),H251))</f>
        <v/>
      </c>
      <c r="K251" s="27" t="str">
        <f aca="false">IF(A251="","",I251*IFERROR(INDEX(Parametros!$B$13:$B$15,MATCH(C251,Parametros!$A$13:$A$15,0)),0))</f>
        <v/>
      </c>
      <c r="L251" s="27" t="str">
        <f aca="false">IF(A251="","",I251*IFERROR(INDEX(Parametros!$C$13:$C$15,MATCH(C251,Parametros!$A$13:$A$15,0)),0))</f>
        <v/>
      </c>
      <c r="M251" s="27" t="str">
        <f aca="false">IF(A251="","",IF(C251="Wise Makers",F251,0))</f>
        <v/>
      </c>
    </row>
    <row r="252" customFormat="false" ht="15" hidden="false" customHeight="false" outlineLevel="0" collapsed="false">
      <c r="A252" s="25"/>
      <c r="F252" s="27"/>
      <c r="H252" s="27"/>
      <c r="I252" s="27"/>
      <c r="J252" s="27" t="str">
        <f aca="false">IF(A252="","",IF(C252="Wise Makers",F252*MIN(IF(G252="",Parametros!$B$5,G252),Parametros!$B$4),H252))</f>
        <v/>
      </c>
      <c r="K252" s="27" t="str">
        <f aca="false">IF(A252="","",I252*IFERROR(INDEX(Parametros!$B$13:$B$15,MATCH(C252,Parametros!$A$13:$A$15,0)),0))</f>
        <v/>
      </c>
      <c r="L252" s="27" t="str">
        <f aca="false">IF(A252="","",I252*IFERROR(INDEX(Parametros!$C$13:$C$15,MATCH(C252,Parametros!$A$13:$A$15,0)),0))</f>
        <v/>
      </c>
      <c r="M252" s="27" t="str">
        <f aca="false">IF(A252="","",IF(C252="Wise Makers",F252,0))</f>
        <v/>
      </c>
    </row>
    <row r="253" customFormat="false" ht="15" hidden="false" customHeight="false" outlineLevel="0" collapsed="false">
      <c r="A253" s="25"/>
      <c r="F253" s="27"/>
      <c r="H253" s="27"/>
      <c r="I253" s="27"/>
      <c r="J253" s="27" t="str">
        <f aca="false">IF(A253="","",IF(C253="Wise Makers",F253*MIN(IF(G253="",Parametros!$B$5,G253),Parametros!$B$4),H253))</f>
        <v/>
      </c>
      <c r="K253" s="27" t="str">
        <f aca="false">IF(A253="","",I253*IFERROR(INDEX(Parametros!$B$13:$B$15,MATCH(C253,Parametros!$A$13:$A$15,0)),0))</f>
        <v/>
      </c>
      <c r="L253" s="27" t="str">
        <f aca="false">IF(A253="","",I253*IFERROR(INDEX(Parametros!$C$13:$C$15,MATCH(C253,Parametros!$A$13:$A$15,0)),0))</f>
        <v/>
      </c>
      <c r="M253" s="27" t="str">
        <f aca="false">IF(A253="","",IF(C253="Wise Makers",F253,0))</f>
        <v/>
      </c>
    </row>
    <row r="254" customFormat="false" ht="15" hidden="false" customHeight="false" outlineLevel="0" collapsed="false">
      <c r="A254" s="25"/>
      <c r="F254" s="27"/>
      <c r="H254" s="27"/>
      <c r="I254" s="27"/>
      <c r="J254" s="27" t="str">
        <f aca="false">IF(A254="","",IF(C254="Wise Makers",F254*MIN(IF(G254="",Parametros!$B$5,G254),Parametros!$B$4),H254))</f>
        <v/>
      </c>
      <c r="K254" s="27" t="str">
        <f aca="false">IF(A254="","",I254*IFERROR(INDEX(Parametros!$B$13:$B$15,MATCH(C254,Parametros!$A$13:$A$15,0)),0))</f>
        <v/>
      </c>
      <c r="L254" s="27" t="str">
        <f aca="false">IF(A254="","",I254*IFERROR(INDEX(Parametros!$C$13:$C$15,MATCH(C254,Parametros!$A$13:$A$15,0)),0))</f>
        <v/>
      </c>
      <c r="M254" s="27" t="str">
        <f aca="false">IF(A254="","",IF(C254="Wise Makers",F254,0))</f>
        <v/>
      </c>
    </row>
    <row r="255" customFormat="false" ht="15" hidden="false" customHeight="false" outlineLevel="0" collapsed="false">
      <c r="A255" s="25"/>
      <c r="F255" s="27"/>
      <c r="H255" s="27"/>
      <c r="I255" s="27"/>
      <c r="J255" s="27" t="str">
        <f aca="false">IF(A255="","",IF(C255="Wise Makers",F255*MIN(IF(G255="",Parametros!$B$5,G255),Parametros!$B$4),H255))</f>
        <v/>
      </c>
      <c r="K255" s="27" t="str">
        <f aca="false">IF(A255="","",I255*IFERROR(INDEX(Parametros!$B$13:$B$15,MATCH(C255,Parametros!$A$13:$A$15,0)),0))</f>
        <v/>
      </c>
      <c r="L255" s="27" t="str">
        <f aca="false">IF(A255="","",I255*IFERROR(INDEX(Parametros!$C$13:$C$15,MATCH(C255,Parametros!$A$13:$A$15,0)),0))</f>
        <v/>
      </c>
      <c r="M255" s="27" t="str">
        <f aca="false">IF(A255="","",IF(C255="Wise Makers",F255,0))</f>
        <v/>
      </c>
    </row>
    <row r="256" customFormat="false" ht="15" hidden="false" customHeight="false" outlineLevel="0" collapsed="false">
      <c r="A256" s="25"/>
      <c r="F256" s="27"/>
      <c r="H256" s="27"/>
      <c r="I256" s="27"/>
      <c r="J256" s="27" t="str">
        <f aca="false">IF(A256="","",IF(C256="Wise Makers",F256*MIN(IF(G256="",Parametros!$B$5,G256),Parametros!$B$4),H256))</f>
        <v/>
      </c>
      <c r="K256" s="27" t="str">
        <f aca="false">IF(A256="","",I256*IFERROR(INDEX(Parametros!$B$13:$B$15,MATCH(C256,Parametros!$A$13:$A$15,0)),0))</f>
        <v/>
      </c>
      <c r="L256" s="27" t="str">
        <f aca="false">IF(A256="","",I256*IFERROR(INDEX(Parametros!$C$13:$C$15,MATCH(C256,Parametros!$A$13:$A$15,0)),0))</f>
        <v/>
      </c>
      <c r="M256" s="27" t="str">
        <f aca="false">IF(A256="","",IF(C256="Wise Makers",F256,0))</f>
        <v/>
      </c>
    </row>
    <row r="257" customFormat="false" ht="15" hidden="false" customHeight="false" outlineLevel="0" collapsed="false">
      <c r="A257" s="25"/>
      <c r="F257" s="27"/>
      <c r="H257" s="27"/>
      <c r="I257" s="27"/>
      <c r="J257" s="27" t="str">
        <f aca="false">IF(A257="","",IF(C257="Wise Makers",F257*MIN(IF(G257="",Parametros!$B$5,G257),Parametros!$B$4),H257))</f>
        <v/>
      </c>
      <c r="K257" s="27" t="str">
        <f aca="false">IF(A257="","",I257*IFERROR(INDEX(Parametros!$B$13:$B$15,MATCH(C257,Parametros!$A$13:$A$15,0)),0))</f>
        <v/>
      </c>
      <c r="L257" s="27" t="str">
        <f aca="false">IF(A257="","",I257*IFERROR(INDEX(Parametros!$C$13:$C$15,MATCH(C257,Parametros!$A$13:$A$15,0)),0))</f>
        <v/>
      </c>
      <c r="M257" s="27" t="str">
        <f aca="false">IF(A257="","",IF(C257="Wise Makers",F257,0))</f>
        <v/>
      </c>
    </row>
    <row r="258" customFormat="false" ht="15" hidden="false" customHeight="false" outlineLevel="0" collapsed="false">
      <c r="A258" s="25"/>
      <c r="F258" s="27"/>
      <c r="H258" s="27"/>
      <c r="I258" s="27"/>
      <c r="J258" s="27" t="str">
        <f aca="false">IF(A258="","",IF(C258="Wise Makers",F258*MIN(IF(G258="",Parametros!$B$5,G258),Parametros!$B$4),H258))</f>
        <v/>
      </c>
      <c r="K258" s="27" t="str">
        <f aca="false">IF(A258="","",I258*IFERROR(INDEX(Parametros!$B$13:$B$15,MATCH(C258,Parametros!$A$13:$A$15,0)),0))</f>
        <v/>
      </c>
      <c r="L258" s="27" t="str">
        <f aca="false">IF(A258="","",I258*IFERROR(INDEX(Parametros!$C$13:$C$15,MATCH(C258,Parametros!$A$13:$A$15,0)),0))</f>
        <v/>
      </c>
      <c r="M258" s="27" t="str">
        <f aca="false">IF(A258="","",IF(C258="Wise Makers",F258,0))</f>
        <v/>
      </c>
    </row>
    <row r="259" customFormat="false" ht="15" hidden="false" customHeight="false" outlineLevel="0" collapsed="false">
      <c r="A259" s="25"/>
      <c r="F259" s="27"/>
      <c r="H259" s="27"/>
      <c r="I259" s="27"/>
      <c r="J259" s="27" t="str">
        <f aca="false">IF(A259="","",IF(C259="Wise Makers",F259*MIN(IF(G259="",Parametros!$B$5,G259),Parametros!$B$4),H259))</f>
        <v/>
      </c>
      <c r="K259" s="27" t="str">
        <f aca="false">IF(A259="","",I259*IFERROR(INDEX(Parametros!$B$13:$B$15,MATCH(C259,Parametros!$A$13:$A$15,0)),0))</f>
        <v/>
      </c>
      <c r="L259" s="27" t="str">
        <f aca="false">IF(A259="","",I259*IFERROR(INDEX(Parametros!$C$13:$C$15,MATCH(C259,Parametros!$A$13:$A$15,0)),0))</f>
        <v/>
      </c>
      <c r="M259" s="27" t="str">
        <f aca="false">IF(A259="","",IF(C259="Wise Makers",F259,0))</f>
        <v/>
      </c>
    </row>
    <row r="260" customFormat="false" ht="15" hidden="false" customHeight="false" outlineLevel="0" collapsed="false">
      <c r="A260" s="25"/>
      <c r="F260" s="27"/>
      <c r="H260" s="27"/>
      <c r="I260" s="27"/>
      <c r="J260" s="27" t="str">
        <f aca="false">IF(A260="","",IF(C260="Wise Makers",F260*MIN(IF(G260="",Parametros!$B$5,G260),Parametros!$B$4),H260))</f>
        <v/>
      </c>
      <c r="K260" s="27" t="str">
        <f aca="false">IF(A260="","",I260*IFERROR(INDEX(Parametros!$B$13:$B$15,MATCH(C260,Parametros!$A$13:$A$15,0)),0))</f>
        <v/>
      </c>
      <c r="L260" s="27" t="str">
        <f aca="false">IF(A260="","",I260*IFERROR(INDEX(Parametros!$C$13:$C$15,MATCH(C260,Parametros!$A$13:$A$15,0)),0))</f>
        <v/>
      </c>
      <c r="M260" s="27" t="str">
        <f aca="false">IF(A260="","",IF(C260="Wise Makers",F260,0))</f>
        <v/>
      </c>
    </row>
    <row r="261" customFormat="false" ht="15" hidden="false" customHeight="false" outlineLevel="0" collapsed="false">
      <c r="A261" s="25"/>
      <c r="F261" s="27"/>
      <c r="H261" s="27"/>
      <c r="I261" s="27"/>
      <c r="J261" s="27" t="str">
        <f aca="false">IF(A261="","",IF(C261="Wise Makers",F261*MIN(IF(G261="",Parametros!$B$5,G261),Parametros!$B$4),H261))</f>
        <v/>
      </c>
      <c r="K261" s="27" t="str">
        <f aca="false">IF(A261="","",I261*IFERROR(INDEX(Parametros!$B$13:$B$15,MATCH(C261,Parametros!$A$13:$A$15,0)),0))</f>
        <v/>
      </c>
      <c r="L261" s="27" t="str">
        <f aca="false">IF(A261="","",I261*IFERROR(INDEX(Parametros!$C$13:$C$15,MATCH(C261,Parametros!$A$13:$A$15,0)),0))</f>
        <v/>
      </c>
      <c r="M261" s="27" t="str">
        <f aca="false">IF(A261="","",IF(C261="Wise Makers",F261,0))</f>
        <v/>
      </c>
    </row>
    <row r="262" customFormat="false" ht="15" hidden="false" customHeight="false" outlineLevel="0" collapsed="false">
      <c r="A262" s="25"/>
      <c r="F262" s="27"/>
      <c r="H262" s="27"/>
      <c r="I262" s="27"/>
      <c r="J262" s="27" t="str">
        <f aca="false">IF(A262="","",IF(C262="Wise Makers",F262*MIN(IF(G262="",Parametros!$B$5,G262),Parametros!$B$4),H262))</f>
        <v/>
      </c>
      <c r="K262" s="27" t="str">
        <f aca="false">IF(A262="","",I262*IFERROR(INDEX(Parametros!$B$13:$B$15,MATCH(C262,Parametros!$A$13:$A$15,0)),0))</f>
        <v/>
      </c>
      <c r="L262" s="27" t="str">
        <f aca="false">IF(A262="","",I262*IFERROR(INDEX(Parametros!$C$13:$C$15,MATCH(C262,Parametros!$A$13:$A$15,0)),0))</f>
        <v/>
      </c>
      <c r="M262" s="27" t="str">
        <f aca="false">IF(A262="","",IF(C262="Wise Makers",F262,0))</f>
        <v/>
      </c>
    </row>
    <row r="263" customFormat="false" ht="15" hidden="false" customHeight="false" outlineLevel="0" collapsed="false">
      <c r="A263" s="25"/>
      <c r="F263" s="27"/>
      <c r="H263" s="27"/>
      <c r="I263" s="27"/>
      <c r="J263" s="27" t="str">
        <f aca="false">IF(A263="","",IF(C263="Wise Makers",F263*MIN(IF(G263="",Parametros!$B$5,G263),Parametros!$B$4),H263))</f>
        <v/>
      </c>
      <c r="K263" s="27" t="str">
        <f aca="false">IF(A263="","",I263*IFERROR(INDEX(Parametros!$B$13:$B$15,MATCH(C263,Parametros!$A$13:$A$15,0)),0))</f>
        <v/>
      </c>
      <c r="L263" s="27" t="str">
        <f aca="false">IF(A263="","",I263*IFERROR(INDEX(Parametros!$C$13:$C$15,MATCH(C263,Parametros!$A$13:$A$15,0)),0))</f>
        <v/>
      </c>
      <c r="M263" s="27" t="str">
        <f aca="false">IF(A263="","",IF(C263="Wise Makers",F263,0))</f>
        <v/>
      </c>
    </row>
    <row r="264" customFormat="false" ht="15" hidden="false" customHeight="false" outlineLevel="0" collapsed="false">
      <c r="A264" s="25"/>
      <c r="F264" s="27"/>
      <c r="H264" s="27"/>
      <c r="I264" s="27"/>
      <c r="J264" s="27" t="str">
        <f aca="false">IF(A264="","",IF(C264="Wise Makers",F264*MIN(IF(G264="",Parametros!$B$5,G264),Parametros!$B$4),H264))</f>
        <v/>
      </c>
      <c r="K264" s="27" t="str">
        <f aca="false">IF(A264="","",I264*IFERROR(INDEX(Parametros!$B$13:$B$15,MATCH(C264,Parametros!$A$13:$A$15,0)),0))</f>
        <v/>
      </c>
      <c r="L264" s="27" t="str">
        <f aca="false">IF(A264="","",I264*IFERROR(INDEX(Parametros!$C$13:$C$15,MATCH(C264,Parametros!$A$13:$A$15,0)),0))</f>
        <v/>
      </c>
      <c r="M264" s="27" t="str">
        <f aca="false">IF(A264="","",IF(C264="Wise Makers",F264,0))</f>
        <v/>
      </c>
    </row>
    <row r="265" customFormat="false" ht="15" hidden="false" customHeight="false" outlineLevel="0" collapsed="false">
      <c r="A265" s="25"/>
      <c r="F265" s="27"/>
      <c r="H265" s="27"/>
      <c r="I265" s="27"/>
      <c r="J265" s="27" t="str">
        <f aca="false">IF(A265="","",IF(C265="Wise Makers",F265*MIN(IF(G265="",Parametros!$B$5,G265),Parametros!$B$4),H265))</f>
        <v/>
      </c>
      <c r="K265" s="27" t="str">
        <f aca="false">IF(A265="","",I265*IFERROR(INDEX(Parametros!$B$13:$B$15,MATCH(C265,Parametros!$A$13:$A$15,0)),0))</f>
        <v/>
      </c>
      <c r="L265" s="27" t="str">
        <f aca="false">IF(A265="","",I265*IFERROR(INDEX(Parametros!$C$13:$C$15,MATCH(C265,Parametros!$A$13:$A$15,0)),0))</f>
        <v/>
      </c>
      <c r="M265" s="27" t="str">
        <f aca="false">IF(A265="","",IF(C265="Wise Makers",F265,0))</f>
        <v/>
      </c>
    </row>
    <row r="266" customFormat="false" ht="15" hidden="false" customHeight="false" outlineLevel="0" collapsed="false">
      <c r="A266" s="25"/>
      <c r="F266" s="27"/>
      <c r="H266" s="27"/>
      <c r="I266" s="27"/>
      <c r="J266" s="27" t="str">
        <f aca="false">IF(A266="","",IF(C266="Wise Makers",F266*MIN(IF(G266="",Parametros!$B$5,G266),Parametros!$B$4),H266))</f>
        <v/>
      </c>
      <c r="K266" s="27" t="str">
        <f aca="false">IF(A266="","",I266*IFERROR(INDEX(Parametros!$B$13:$B$15,MATCH(C266,Parametros!$A$13:$A$15,0)),0))</f>
        <v/>
      </c>
      <c r="L266" s="27" t="str">
        <f aca="false">IF(A266="","",I266*IFERROR(INDEX(Parametros!$C$13:$C$15,MATCH(C266,Parametros!$A$13:$A$15,0)),0))</f>
        <v/>
      </c>
      <c r="M266" s="27" t="str">
        <f aca="false">IF(A266="","",IF(C266="Wise Makers",F266,0))</f>
        <v/>
      </c>
    </row>
    <row r="267" customFormat="false" ht="15" hidden="false" customHeight="false" outlineLevel="0" collapsed="false">
      <c r="A267" s="25"/>
      <c r="F267" s="27"/>
      <c r="H267" s="27"/>
      <c r="I267" s="27"/>
      <c r="J267" s="27" t="str">
        <f aca="false">IF(A267="","",IF(C267="Wise Makers",F267*MIN(IF(G267="",Parametros!$B$5,G267),Parametros!$B$4),H267))</f>
        <v/>
      </c>
      <c r="K267" s="27" t="str">
        <f aca="false">IF(A267="","",I267*IFERROR(INDEX(Parametros!$B$13:$B$15,MATCH(C267,Parametros!$A$13:$A$15,0)),0))</f>
        <v/>
      </c>
      <c r="L267" s="27" t="str">
        <f aca="false">IF(A267="","",I267*IFERROR(INDEX(Parametros!$C$13:$C$15,MATCH(C267,Parametros!$A$13:$A$15,0)),0))</f>
        <v/>
      </c>
      <c r="M267" s="27" t="str">
        <f aca="false">IF(A267="","",IF(C267="Wise Makers",F267,0))</f>
        <v/>
      </c>
    </row>
    <row r="268" customFormat="false" ht="15" hidden="false" customHeight="false" outlineLevel="0" collapsed="false">
      <c r="A268" s="25"/>
      <c r="F268" s="27"/>
      <c r="H268" s="27"/>
      <c r="I268" s="27"/>
      <c r="J268" s="27" t="str">
        <f aca="false">IF(A268="","",IF(C268="Wise Makers",F268*MIN(IF(G268="",Parametros!$B$5,G268),Parametros!$B$4),H268))</f>
        <v/>
      </c>
      <c r="K268" s="27" t="str">
        <f aca="false">IF(A268="","",I268*IFERROR(INDEX(Parametros!$B$13:$B$15,MATCH(C268,Parametros!$A$13:$A$15,0)),0))</f>
        <v/>
      </c>
      <c r="L268" s="27" t="str">
        <f aca="false">IF(A268="","",I268*IFERROR(INDEX(Parametros!$C$13:$C$15,MATCH(C268,Parametros!$A$13:$A$15,0)),0))</f>
        <v/>
      </c>
      <c r="M268" s="27" t="str">
        <f aca="false">IF(A268="","",IF(C268="Wise Makers",F268,0))</f>
        <v/>
      </c>
    </row>
    <row r="269" customFormat="false" ht="15" hidden="false" customHeight="false" outlineLevel="0" collapsed="false">
      <c r="A269" s="25"/>
      <c r="F269" s="27"/>
      <c r="H269" s="27"/>
      <c r="I269" s="27"/>
      <c r="J269" s="27" t="str">
        <f aca="false">IF(A269="","",IF(C269="Wise Makers",F269*MIN(IF(G269="",Parametros!$B$5,G269),Parametros!$B$4),H269))</f>
        <v/>
      </c>
      <c r="K269" s="27" t="str">
        <f aca="false">IF(A269="","",I269*IFERROR(INDEX(Parametros!$B$13:$B$15,MATCH(C269,Parametros!$A$13:$A$15,0)),0))</f>
        <v/>
      </c>
      <c r="L269" s="27" t="str">
        <f aca="false">IF(A269="","",I269*IFERROR(INDEX(Parametros!$C$13:$C$15,MATCH(C269,Parametros!$A$13:$A$15,0)),0))</f>
        <v/>
      </c>
      <c r="M269" s="27" t="str">
        <f aca="false">IF(A269="","",IF(C269="Wise Makers",F269,0))</f>
        <v/>
      </c>
    </row>
    <row r="270" customFormat="false" ht="15" hidden="false" customHeight="false" outlineLevel="0" collapsed="false">
      <c r="A270" s="25"/>
      <c r="F270" s="27"/>
      <c r="H270" s="27"/>
      <c r="I270" s="27"/>
      <c r="J270" s="27" t="str">
        <f aca="false">IF(A270="","",IF(C270="Wise Makers",F270*MIN(IF(G270="",Parametros!$B$5,G270),Parametros!$B$4),H270))</f>
        <v/>
      </c>
      <c r="K270" s="27" t="str">
        <f aca="false">IF(A270="","",I270*IFERROR(INDEX(Parametros!$B$13:$B$15,MATCH(C270,Parametros!$A$13:$A$15,0)),0))</f>
        <v/>
      </c>
      <c r="L270" s="27" t="str">
        <f aca="false">IF(A270="","",I270*IFERROR(INDEX(Parametros!$C$13:$C$15,MATCH(C270,Parametros!$A$13:$A$15,0)),0))</f>
        <v/>
      </c>
      <c r="M270" s="27" t="str">
        <f aca="false">IF(A270="","",IF(C270="Wise Makers",F270,0))</f>
        <v/>
      </c>
    </row>
    <row r="271" customFormat="false" ht="15" hidden="false" customHeight="false" outlineLevel="0" collapsed="false">
      <c r="A271" s="25"/>
      <c r="F271" s="27"/>
      <c r="H271" s="27"/>
      <c r="I271" s="27"/>
      <c r="J271" s="27" t="str">
        <f aca="false">IF(A271="","",IF(C271="Wise Makers",F271*MIN(IF(G271="",Parametros!$B$5,G271),Parametros!$B$4),H271))</f>
        <v/>
      </c>
      <c r="K271" s="27" t="str">
        <f aca="false">IF(A271="","",I271*IFERROR(INDEX(Parametros!$B$13:$B$15,MATCH(C271,Parametros!$A$13:$A$15,0)),0))</f>
        <v/>
      </c>
      <c r="L271" s="27" t="str">
        <f aca="false">IF(A271="","",I271*IFERROR(INDEX(Parametros!$C$13:$C$15,MATCH(C271,Parametros!$A$13:$A$15,0)),0))</f>
        <v/>
      </c>
      <c r="M271" s="27" t="str">
        <f aca="false">IF(A271="","",IF(C271="Wise Makers",F271,0))</f>
        <v/>
      </c>
    </row>
    <row r="272" customFormat="false" ht="15" hidden="false" customHeight="false" outlineLevel="0" collapsed="false">
      <c r="A272" s="25"/>
      <c r="F272" s="27"/>
      <c r="H272" s="27"/>
      <c r="I272" s="27"/>
      <c r="J272" s="27" t="str">
        <f aca="false">IF(A272="","",IF(C272="Wise Makers",F272*MIN(IF(G272="",Parametros!$B$5,G272),Parametros!$B$4),H272))</f>
        <v/>
      </c>
      <c r="K272" s="27" t="str">
        <f aca="false">IF(A272="","",I272*IFERROR(INDEX(Parametros!$B$13:$B$15,MATCH(C272,Parametros!$A$13:$A$15,0)),0))</f>
        <v/>
      </c>
      <c r="L272" s="27" t="str">
        <f aca="false">IF(A272="","",I272*IFERROR(INDEX(Parametros!$C$13:$C$15,MATCH(C272,Parametros!$A$13:$A$15,0)),0))</f>
        <v/>
      </c>
      <c r="M272" s="27" t="str">
        <f aca="false">IF(A272="","",IF(C272="Wise Makers",F272,0))</f>
        <v/>
      </c>
    </row>
    <row r="273" customFormat="false" ht="15" hidden="false" customHeight="false" outlineLevel="0" collapsed="false">
      <c r="A273" s="25"/>
      <c r="F273" s="27"/>
      <c r="H273" s="27"/>
      <c r="I273" s="27"/>
      <c r="J273" s="27" t="str">
        <f aca="false">IF(A273="","",IF(C273="Wise Makers",F273*MIN(IF(G273="",Parametros!$B$5,G273),Parametros!$B$4),H273))</f>
        <v/>
      </c>
      <c r="K273" s="27" t="str">
        <f aca="false">IF(A273="","",I273*IFERROR(INDEX(Parametros!$B$13:$B$15,MATCH(C273,Parametros!$A$13:$A$15,0)),0))</f>
        <v/>
      </c>
      <c r="L273" s="27" t="str">
        <f aca="false">IF(A273="","",I273*IFERROR(INDEX(Parametros!$C$13:$C$15,MATCH(C273,Parametros!$A$13:$A$15,0)),0))</f>
        <v/>
      </c>
      <c r="M273" s="27" t="str">
        <f aca="false">IF(A273="","",IF(C273="Wise Makers",F273,0))</f>
        <v/>
      </c>
    </row>
    <row r="274" customFormat="false" ht="15" hidden="false" customHeight="false" outlineLevel="0" collapsed="false">
      <c r="A274" s="25"/>
      <c r="F274" s="27"/>
      <c r="H274" s="27"/>
      <c r="I274" s="27"/>
      <c r="J274" s="27" t="str">
        <f aca="false">IF(A274="","",IF(C274="Wise Makers",F274*MIN(IF(G274="",Parametros!$B$5,G274),Parametros!$B$4),H274))</f>
        <v/>
      </c>
      <c r="K274" s="27" t="str">
        <f aca="false">IF(A274="","",I274*IFERROR(INDEX(Parametros!$B$13:$B$15,MATCH(C274,Parametros!$A$13:$A$15,0)),0))</f>
        <v/>
      </c>
      <c r="L274" s="27" t="str">
        <f aca="false">IF(A274="","",I274*IFERROR(INDEX(Parametros!$C$13:$C$15,MATCH(C274,Parametros!$A$13:$A$15,0)),0))</f>
        <v/>
      </c>
      <c r="M274" s="27" t="str">
        <f aca="false">IF(A274="","",IF(C274="Wise Makers",F274,0))</f>
        <v/>
      </c>
    </row>
    <row r="275" customFormat="false" ht="15" hidden="false" customHeight="false" outlineLevel="0" collapsed="false">
      <c r="A275" s="25"/>
      <c r="F275" s="27"/>
      <c r="H275" s="27"/>
      <c r="I275" s="27"/>
      <c r="J275" s="27" t="str">
        <f aca="false">IF(A275="","",IF(C275="Wise Makers",F275*MIN(IF(G275="",Parametros!$B$5,G275),Parametros!$B$4),H275))</f>
        <v/>
      </c>
      <c r="K275" s="27" t="str">
        <f aca="false">IF(A275="","",I275*IFERROR(INDEX(Parametros!$B$13:$B$15,MATCH(C275,Parametros!$A$13:$A$15,0)),0))</f>
        <v/>
      </c>
      <c r="L275" s="27" t="str">
        <f aca="false">IF(A275="","",I275*IFERROR(INDEX(Parametros!$C$13:$C$15,MATCH(C275,Parametros!$A$13:$A$15,0)),0))</f>
        <v/>
      </c>
      <c r="M275" s="27" t="str">
        <f aca="false">IF(A275="","",IF(C275="Wise Makers",F275,0))</f>
        <v/>
      </c>
    </row>
    <row r="276" customFormat="false" ht="15" hidden="false" customHeight="false" outlineLevel="0" collapsed="false">
      <c r="A276" s="25"/>
      <c r="F276" s="27"/>
      <c r="H276" s="27"/>
      <c r="I276" s="27"/>
      <c r="J276" s="27" t="str">
        <f aca="false">IF(A276="","",IF(C276="Wise Makers",F276*MIN(IF(G276="",Parametros!$B$5,G276),Parametros!$B$4),H276))</f>
        <v/>
      </c>
      <c r="K276" s="27" t="str">
        <f aca="false">IF(A276="","",I276*IFERROR(INDEX(Parametros!$B$13:$B$15,MATCH(C276,Parametros!$A$13:$A$15,0)),0))</f>
        <v/>
      </c>
      <c r="L276" s="27" t="str">
        <f aca="false">IF(A276="","",I276*IFERROR(INDEX(Parametros!$C$13:$C$15,MATCH(C276,Parametros!$A$13:$A$15,0)),0))</f>
        <v/>
      </c>
      <c r="M276" s="27" t="str">
        <f aca="false">IF(A276="","",IF(C276="Wise Makers",F276,0))</f>
        <v/>
      </c>
    </row>
    <row r="277" customFormat="false" ht="15" hidden="false" customHeight="false" outlineLevel="0" collapsed="false">
      <c r="A277" s="25"/>
      <c r="F277" s="27"/>
      <c r="H277" s="27"/>
      <c r="I277" s="27"/>
      <c r="J277" s="27" t="str">
        <f aca="false">IF(A277="","",IF(C277="Wise Makers",F277*MIN(IF(G277="",Parametros!$B$5,G277),Parametros!$B$4),H277))</f>
        <v/>
      </c>
      <c r="K277" s="27" t="str">
        <f aca="false">IF(A277="","",I277*IFERROR(INDEX(Parametros!$B$13:$B$15,MATCH(C277,Parametros!$A$13:$A$15,0)),0))</f>
        <v/>
      </c>
      <c r="L277" s="27" t="str">
        <f aca="false">IF(A277="","",I277*IFERROR(INDEX(Parametros!$C$13:$C$15,MATCH(C277,Parametros!$A$13:$A$15,0)),0))</f>
        <v/>
      </c>
      <c r="M277" s="27" t="str">
        <f aca="false">IF(A277="","",IF(C277="Wise Makers",F277,0))</f>
        <v/>
      </c>
    </row>
    <row r="278" customFormat="false" ht="15" hidden="false" customHeight="false" outlineLevel="0" collapsed="false">
      <c r="A278" s="25"/>
      <c r="F278" s="27"/>
      <c r="H278" s="27"/>
      <c r="I278" s="27"/>
      <c r="J278" s="27" t="str">
        <f aca="false">IF(A278="","",IF(C278="Wise Makers",F278*MIN(IF(G278="",Parametros!$B$5,G278),Parametros!$B$4),H278))</f>
        <v/>
      </c>
      <c r="K278" s="27" t="str">
        <f aca="false">IF(A278="","",I278*IFERROR(INDEX(Parametros!$B$13:$B$15,MATCH(C278,Parametros!$A$13:$A$15,0)),0))</f>
        <v/>
      </c>
      <c r="L278" s="27" t="str">
        <f aca="false">IF(A278="","",I278*IFERROR(INDEX(Parametros!$C$13:$C$15,MATCH(C278,Parametros!$A$13:$A$15,0)),0))</f>
        <v/>
      </c>
      <c r="M278" s="27" t="str">
        <f aca="false">IF(A278="","",IF(C278="Wise Makers",F278,0))</f>
        <v/>
      </c>
    </row>
    <row r="279" customFormat="false" ht="15" hidden="false" customHeight="false" outlineLevel="0" collapsed="false">
      <c r="A279" s="25"/>
      <c r="F279" s="27"/>
      <c r="H279" s="27"/>
      <c r="I279" s="27"/>
      <c r="J279" s="27" t="str">
        <f aca="false">IF(A279="","",IF(C279="Wise Makers",F279*MIN(IF(G279="",Parametros!$B$5,G279),Parametros!$B$4),H279))</f>
        <v/>
      </c>
      <c r="K279" s="27" t="str">
        <f aca="false">IF(A279="","",I279*IFERROR(INDEX(Parametros!$B$13:$B$15,MATCH(C279,Parametros!$A$13:$A$15,0)),0))</f>
        <v/>
      </c>
      <c r="L279" s="27" t="str">
        <f aca="false">IF(A279="","",I279*IFERROR(INDEX(Parametros!$C$13:$C$15,MATCH(C279,Parametros!$A$13:$A$15,0)),0))</f>
        <v/>
      </c>
      <c r="M279" s="27" t="str">
        <f aca="false">IF(A279="","",IF(C279="Wise Makers",F279,0))</f>
        <v/>
      </c>
    </row>
    <row r="280" customFormat="false" ht="15" hidden="false" customHeight="false" outlineLevel="0" collapsed="false">
      <c r="A280" s="25"/>
      <c r="F280" s="27"/>
      <c r="H280" s="27"/>
      <c r="I280" s="27"/>
      <c r="J280" s="27" t="str">
        <f aca="false">IF(A280="","",IF(C280="Wise Makers",F280*MIN(IF(G280="",Parametros!$B$5,G280),Parametros!$B$4),H280))</f>
        <v/>
      </c>
      <c r="K280" s="27" t="str">
        <f aca="false">IF(A280="","",I280*IFERROR(INDEX(Parametros!$B$13:$B$15,MATCH(C280,Parametros!$A$13:$A$15,0)),0))</f>
        <v/>
      </c>
      <c r="L280" s="27" t="str">
        <f aca="false">IF(A280="","",I280*IFERROR(INDEX(Parametros!$C$13:$C$15,MATCH(C280,Parametros!$A$13:$A$15,0)),0))</f>
        <v/>
      </c>
      <c r="M280" s="27" t="str">
        <f aca="false">IF(A280="","",IF(C280="Wise Makers",F280,0))</f>
        <v/>
      </c>
    </row>
    <row r="281" customFormat="false" ht="15" hidden="false" customHeight="false" outlineLevel="0" collapsed="false">
      <c r="A281" s="25"/>
      <c r="F281" s="27"/>
      <c r="H281" s="27"/>
      <c r="I281" s="27"/>
      <c r="J281" s="27" t="str">
        <f aca="false">IF(A281="","",IF(C281="Wise Makers",F281*MIN(IF(G281="",Parametros!$B$5,G281),Parametros!$B$4),H281))</f>
        <v/>
      </c>
      <c r="K281" s="27" t="str">
        <f aca="false">IF(A281="","",I281*IFERROR(INDEX(Parametros!$B$13:$B$15,MATCH(C281,Parametros!$A$13:$A$15,0)),0))</f>
        <v/>
      </c>
      <c r="L281" s="27" t="str">
        <f aca="false">IF(A281="","",I281*IFERROR(INDEX(Parametros!$C$13:$C$15,MATCH(C281,Parametros!$A$13:$A$15,0)),0))</f>
        <v/>
      </c>
      <c r="M281" s="27" t="str">
        <f aca="false">IF(A281="","",IF(C281="Wise Makers",F281,0))</f>
        <v/>
      </c>
    </row>
    <row r="282" customFormat="false" ht="15" hidden="false" customHeight="false" outlineLevel="0" collapsed="false">
      <c r="A282" s="25"/>
      <c r="F282" s="27"/>
      <c r="H282" s="27"/>
      <c r="I282" s="27"/>
      <c r="J282" s="27" t="str">
        <f aca="false">IF(A282="","",IF(C282="Wise Makers",F282*MIN(IF(G282="",Parametros!$B$5,G282),Parametros!$B$4),H282))</f>
        <v/>
      </c>
      <c r="K282" s="27" t="str">
        <f aca="false">IF(A282="","",I282*IFERROR(INDEX(Parametros!$B$13:$B$15,MATCH(C282,Parametros!$A$13:$A$15,0)),0))</f>
        <v/>
      </c>
      <c r="L282" s="27" t="str">
        <f aca="false">IF(A282="","",I282*IFERROR(INDEX(Parametros!$C$13:$C$15,MATCH(C282,Parametros!$A$13:$A$15,0)),0))</f>
        <v/>
      </c>
      <c r="M282" s="27" t="str">
        <f aca="false">IF(A282="","",IF(C282="Wise Makers",F282,0))</f>
        <v/>
      </c>
    </row>
    <row r="283" customFormat="false" ht="15" hidden="false" customHeight="false" outlineLevel="0" collapsed="false">
      <c r="A283" s="25"/>
      <c r="F283" s="27"/>
      <c r="H283" s="27"/>
      <c r="I283" s="27"/>
      <c r="J283" s="27" t="str">
        <f aca="false">IF(A283="","",IF(C283="Wise Makers",F283*MIN(IF(G283="",Parametros!$B$5,G283),Parametros!$B$4),H283))</f>
        <v/>
      </c>
      <c r="K283" s="27" t="str">
        <f aca="false">IF(A283="","",I283*IFERROR(INDEX(Parametros!$B$13:$B$15,MATCH(C283,Parametros!$A$13:$A$15,0)),0))</f>
        <v/>
      </c>
      <c r="L283" s="27" t="str">
        <f aca="false">IF(A283="","",I283*IFERROR(INDEX(Parametros!$C$13:$C$15,MATCH(C283,Parametros!$A$13:$A$15,0)),0))</f>
        <v/>
      </c>
      <c r="M283" s="27" t="str">
        <f aca="false">IF(A283="","",IF(C283="Wise Makers",F283,0))</f>
        <v/>
      </c>
    </row>
    <row r="284" customFormat="false" ht="15" hidden="false" customHeight="false" outlineLevel="0" collapsed="false">
      <c r="A284" s="25"/>
      <c r="F284" s="27"/>
      <c r="H284" s="27"/>
      <c r="I284" s="27"/>
      <c r="J284" s="27" t="str">
        <f aca="false">IF(A284="","",IF(C284="Wise Makers",F284*MIN(IF(G284="",Parametros!$B$5,G284),Parametros!$B$4),H284))</f>
        <v/>
      </c>
      <c r="K284" s="27" t="str">
        <f aca="false">IF(A284="","",I284*IFERROR(INDEX(Parametros!$B$13:$B$15,MATCH(C284,Parametros!$A$13:$A$15,0)),0))</f>
        <v/>
      </c>
      <c r="L284" s="27" t="str">
        <f aca="false">IF(A284="","",I284*IFERROR(INDEX(Parametros!$C$13:$C$15,MATCH(C284,Parametros!$A$13:$A$15,0)),0))</f>
        <v/>
      </c>
      <c r="M284" s="27" t="str">
        <f aca="false">IF(A284="","",IF(C284="Wise Makers",F284,0))</f>
        <v/>
      </c>
    </row>
    <row r="285" customFormat="false" ht="15" hidden="false" customHeight="false" outlineLevel="0" collapsed="false">
      <c r="A285" s="25"/>
      <c r="F285" s="27"/>
      <c r="H285" s="27"/>
      <c r="I285" s="27"/>
      <c r="J285" s="27" t="str">
        <f aca="false">IF(A285="","",IF(C285="Wise Makers",F285*MIN(IF(G285="",Parametros!$B$5,G285),Parametros!$B$4),H285))</f>
        <v/>
      </c>
      <c r="K285" s="27" t="str">
        <f aca="false">IF(A285="","",I285*IFERROR(INDEX(Parametros!$B$13:$B$15,MATCH(C285,Parametros!$A$13:$A$15,0)),0))</f>
        <v/>
      </c>
      <c r="L285" s="27" t="str">
        <f aca="false">IF(A285="","",I285*IFERROR(INDEX(Parametros!$C$13:$C$15,MATCH(C285,Parametros!$A$13:$A$15,0)),0))</f>
        <v/>
      </c>
      <c r="M285" s="27" t="str">
        <f aca="false">IF(A285="","",IF(C285="Wise Makers",F285,0))</f>
        <v/>
      </c>
    </row>
    <row r="286" customFormat="false" ht="15" hidden="false" customHeight="false" outlineLevel="0" collapsed="false">
      <c r="A286" s="25"/>
      <c r="F286" s="27"/>
      <c r="H286" s="27"/>
      <c r="I286" s="27"/>
      <c r="J286" s="27" t="str">
        <f aca="false">IF(A286="","",IF(C286="Wise Makers",F286*MIN(IF(G286="",Parametros!$B$5,G286),Parametros!$B$4),H286))</f>
        <v/>
      </c>
      <c r="K286" s="27" t="str">
        <f aca="false">IF(A286="","",I286*IFERROR(INDEX(Parametros!$B$13:$B$15,MATCH(C286,Parametros!$A$13:$A$15,0)),0))</f>
        <v/>
      </c>
      <c r="L286" s="27" t="str">
        <f aca="false">IF(A286="","",I286*IFERROR(INDEX(Parametros!$C$13:$C$15,MATCH(C286,Parametros!$A$13:$A$15,0)),0))</f>
        <v/>
      </c>
      <c r="M286" s="27" t="str">
        <f aca="false">IF(A286="","",IF(C286="Wise Makers",F286,0))</f>
        <v/>
      </c>
    </row>
    <row r="287" customFormat="false" ht="15" hidden="false" customHeight="false" outlineLevel="0" collapsed="false">
      <c r="A287" s="25"/>
      <c r="F287" s="27"/>
      <c r="H287" s="27"/>
      <c r="I287" s="27"/>
      <c r="J287" s="27" t="str">
        <f aca="false">IF(A287="","",IF(C287="Wise Makers",F287*MIN(IF(G287="",Parametros!$B$5,G287),Parametros!$B$4),H287))</f>
        <v/>
      </c>
      <c r="K287" s="27" t="str">
        <f aca="false">IF(A287="","",I287*IFERROR(INDEX(Parametros!$B$13:$B$15,MATCH(C287,Parametros!$A$13:$A$15,0)),0))</f>
        <v/>
      </c>
      <c r="L287" s="27" t="str">
        <f aca="false">IF(A287="","",I287*IFERROR(INDEX(Parametros!$C$13:$C$15,MATCH(C287,Parametros!$A$13:$A$15,0)),0))</f>
        <v/>
      </c>
      <c r="M287" s="27" t="str">
        <f aca="false">IF(A287="","",IF(C287="Wise Makers",F287,0))</f>
        <v/>
      </c>
    </row>
    <row r="288" customFormat="false" ht="15" hidden="false" customHeight="false" outlineLevel="0" collapsed="false">
      <c r="A288" s="25"/>
      <c r="F288" s="27"/>
      <c r="H288" s="27"/>
      <c r="I288" s="27"/>
      <c r="J288" s="27" t="str">
        <f aca="false">IF(A288="","",IF(C288="Wise Makers",F288*MIN(IF(G288="",Parametros!$B$5,G288),Parametros!$B$4),H288))</f>
        <v/>
      </c>
      <c r="K288" s="27" t="str">
        <f aca="false">IF(A288="","",I288*IFERROR(INDEX(Parametros!$B$13:$B$15,MATCH(C288,Parametros!$A$13:$A$15,0)),0))</f>
        <v/>
      </c>
      <c r="L288" s="27" t="str">
        <f aca="false">IF(A288="","",I288*IFERROR(INDEX(Parametros!$C$13:$C$15,MATCH(C288,Parametros!$A$13:$A$15,0)),0))</f>
        <v/>
      </c>
      <c r="M288" s="27" t="str">
        <f aca="false">IF(A288="","",IF(C288="Wise Makers",F288,0))</f>
        <v/>
      </c>
    </row>
    <row r="289" customFormat="false" ht="15" hidden="false" customHeight="false" outlineLevel="0" collapsed="false">
      <c r="A289" s="25"/>
      <c r="F289" s="27"/>
      <c r="H289" s="27"/>
      <c r="I289" s="27"/>
      <c r="J289" s="27" t="str">
        <f aca="false">IF(A289="","",IF(C289="Wise Makers",F289*MIN(IF(G289="",Parametros!$B$5,G289),Parametros!$B$4),H289))</f>
        <v/>
      </c>
      <c r="K289" s="27" t="str">
        <f aca="false">IF(A289="","",I289*IFERROR(INDEX(Parametros!$B$13:$B$15,MATCH(C289,Parametros!$A$13:$A$15,0)),0))</f>
        <v/>
      </c>
      <c r="L289" s="27" t="str">
        <f aca="false">IF(A289="","",I289*IFERROR(INDEX(Parametros!$C$13:$C$15,MATCH(C289,Parametros!$A$13:$A$15,0)),0))</f>
        <v/>
      </c>
      <c r="M289" s="27" t="str">
        <f aca="false">IF(A289="","",IF(C289="Wise Makers",F289,0))</f>
        <v/>
      </c>
    </row>
    <row r="290" customFormat="false" ht="15" hidden="false" customHeight="false" outlineLevel="0" collapsed="false">
      <c r="A290" s="25"/>
      <c r="F290" s="27"/>
      <c r="H290" s="27"/>
      <c r="I290" s="27"/>
      <c r="J290" s="27" t="str">
        <f aca="false">IF(A290="","",IF(C290="Wise Makers",F290*MIN(IF(G290="",Parametros!$B$5,G290),Parametros!$B$4),H290))</f>
        <v/>
      </c>
      <c r="K290" s="27" t="str">
        <f aca="false">IF(A290="","",I290*IFERROR(INDEX(Parametros!$B$13:$B$15,MATCH(C290,Parametros!$A$13:$A$15,0)),0))</f>
        <v/>
      </c>
      <c r="L290" s="27" t="str">
        <f aca="false">IF(A290="","",I290*IFERROR(INDEX(Parametros!$C$13:$C$15,MATCH(C290,Parametros!$A$13:$A$15,0)),0))</f>
        <v/>
      </c>
      <c r="M290" s="27" t="str">
        <f aca="false">IF(A290="","",IF(C290="Wise Makers",F290,0))</f>
        <v/>
      </c>
    </row>
    <row r="291" customFormat="false" ht="15" hidden="false" customHeight="false" outlineLevel="0" collapsed="false">
      <c r="A291" s="25"/>
      <c r="F291" s="27"/>
      <c r="H291" s="27"/>
      <c r="I291" s="27"/>
      <c r="J291" s="27" t="str">
        <f aca="false">IF(A291="","",IF(C291="Wise Makers",F291*MIN(IF(G291="",Parametros!$B$5,G291),Parametros!$B$4),H291))</f>
        <v/>
      </c>
      <c r="K291" s="27" t="str">
        <f aca="false">IF(A291="","",I291*IFERROR(INDEX(Parametros!$B$13:$B$15,MATCH(C291,Parametros!$A$13:$A$15,0)),0))</f>
        <v/>
      </c>
      <c r="L291" s="27" t="str">
        <f aca="false">IF(A291="","",I291*IFERROR(INDEX(Parametros!$C$13:$C$15,MATCH(C291,Parametros!$A$13:$A$15,0)),0))</f>
        <v/>
      </c>
      <c r="M291" s="27" t="str">
        <f aca="false">IF(A291="","",IF(C291="Wise Makers",F291,0))</f>
        <v/>
      </c>
    </row>
    <row r="292" customFormat="false" ht="15" hidden="false" customHeight="false" outlineLevel="0" collapsed="false">
      <c r="A292" s="25"/>
      <c r="F292" s="27"/>
      <c r="H292" s="27"/>
      <c r="I292" s="27"/>
      <c r="J292" s="27" t="str">
        <f aca="false">IF(A292="","",IF(C292="Wise Makers",F292*MIN(IF(G292="",Parametros!$B$5,G292),Parametros!$B$4),H292))</f>
        <v/>
      </c>
      <c r="K292" s="27" t="str">
        <f aca="false">IF(A292="","",I292*IFERROR(INDEX(Parametros!$B$13:$B$15,MATCH(C292,Parametros!$A$13:$A$15,0)),0))</f>
        <v/>
      </c>
      <c r="L292" s="27" t="str">
        <f aca="false">IF(A292="","",I292*IFERROR(INDEX(Parametros!$C$13:$C$15,MATCH(C292,Parametros!$A$13:$A$15,0)),0))</f>
        <v/>
      </c>
      <c r="M292" s="27" t="str">
        <f aca="false">IF(A292="","",IF(C292="Wise Makers",F292,0))</f>
        <v/>
      </c>
    </row>
    <row r="293" customFormat="false" ht="15" hidden="false" customHeight="false" outlineLevel="0" collapsed="false">
      <c r="A293" s="25"/>
      <c r="F293" s="27"/>
      <c r="H293" s="27"/>
      <c r="I293" s="27"/>
      <c r="J293" s="27" t="str">
        <f aca="false">IF(A293="","",IF(C293="Wise Makers",F293*MIN(IF(G293="",Parametros!$B$5,G293),Parametros!$B$4),H293))</f>
        <v/>
      </c>
      <c r="K293" s="27" t="str">
        <f aca="false">IF(A293="","",I293*IFERROR(INDEX(Parametros!$B$13:$B$15,MATCH(C293,Parametros!$A$13:$A$15,0)),0))</f>
        <v/>
      </c>
      <c r="L293" s="27" t="str">
        <f aca="false">IF(A293="","",I293*IFERROR(INDEX(Parametros!$C$13:$C$15,MATCH(C293,Parametros!$A$13:$A$15,0)),0))</f>
        <v/>
      </c>
      <c r="M293" s="27" t="str">
        <f aca="false">IF(A293="","",IF(C293="Wise Makers",F293,0))</f>
        <v/>
      </c>
    </row>
    <row r="294" customFormat="false" ht="15" hidden="false" customHeight="false" outlineLevel="0" collapsed="false">
      <c r="A294" s="25"/>
      <c r="F294" s="27"/>
      <c r="H294" s="27"/>
      <c r="I294" s="27"/>
      <c r="J294" s="27" t="str">
        <f aca="false">IF(A294="","",IF(C294="Wise Makers",F294*MIN(IF(G294="",Parametros!$B$5,G294),Parametros!$B$4),H294))</f>
        <v/>
      </c>
      <c r="K294" s="27" t="str">
        <f aca="false">IF(A294="","",I294*IFERROR(INDEX(Parametros!$B$13:$B$15,MATCH(C294,Parametros!$A$13:$A$15,0)),0))</f>
        <v/>
      </c>
      <c r="L294" s="27" t="str">
        <f aca="false">IF(A294="","",I294*IFERROR(INDEX(Parametros!$C$13:$C$15,MATCH(C294,Parametros!$A$13:$A$15,0)),0))</f>
        <v/>
      </c>
      <c r="M294" s="27" t="str">
        <f aca="false">IF(A294="","",IF(C294="Wise Makers",F294,0))</f>
        <v/>
      </c>
    </row>
    <row r="295" customFormat="false" ht="15" hidden="false" customHeight="false" outlineLevel="0" collapsed="false">
      <c r="A295" s="25"/>
      <c r="F295" s="27"/>
      <c r="H295" s="27"/>
      <c r="I295" s="27"/>
      <c r="J295" s="27" t="str">
        <f aca="false">IF(A295="","",IF(C295="Wise Makers",F295*MIN(IF(G295="",Parametros!$B$5,G295),Parametros!$B$4),H295))</f>
        <v/>
      </c>
      <c r="K295" s="27" t="str">
        <f aca="false">IF(A295="","",I295*IFERROR(INDEX(Parametros!$B$13:$B$15,MATCH(C295,Parametros!$A$13:$A$15,0)),0))</f>
        <v/>
      </c>
      <c r="L295" s="27" t="str">
        <f aca="false">IF(A295="","",I295*IFERROR(INDEX(Parametros!$C$13:$C$15,MATCH(C295,Parametros!$A$13:$A$15,0)),0))</f>
        <v/>
      </c>
      <c r="M295" s="27" t="str">
        <f aca="false">IF(A295="","",IF(C295="Wise Makers",F295,0))</f>
        <v/>
      </c>
    </row>
    <row r="296" customFormat="false" ht="15" hidden="false" customHeight="false" outlineLevel="0" collapsed="false">
      <c r="A296" s="25"/>
      <c r="F296" s="27"/>
      <c r="H296" s="27"/>
      <c r="I296" s="27"/>
      <c r="J296" s="27" t="str">
        <f aca="false">IF(A296="","",IF(C296="Wise Makers",F296*MIN(IF(G296="",Parametros!$B$5,G296),Parametros!$B$4),H296))</f>
        <v/>
      </c>
      <c r="K296" s="27" t="str">
        <f aca="false">IF(A296="","",I296*IFERROR(INDEX(Parametros!$B$13:$B$15,MATCH(C296,Parametros!$A$13:$A$15,0)),0))</f>
        <v/>
      </c>
      <c r="L296" s="27" t="str">
        <f aca="false">IF(A296="","",I296*IFERROR(INDEX(Parametros!$C$13:$C$15,MATCH(C296,Parametros!$A$13:$A$15,0)),0))</f>
        <v/>
      </c>
      <c r="M296" s="27" t="str">
        <f aca="false">IF(A296="","",IF(C296="Wise Makers",F296,0))</f>
        <v/>
      </c>
    </row>
    <row r="297" customFormat="false" ht="15" hidden="false" customHeight="false" outlineLevel="0" collapsed="false">
      <c r="A297" s="25"/>
      <c r="F297" s="27"/>
      <c r="H297" s="27"/>
      <c r="I297" s="27"/>
      <c r="J297" s="27" t="str">
        <f aca="false">IF(A297="","",IF(C297="Wise Makers",F297*MIN(IF(G297="",Parametros!$B$5,G297),Parametros!$B$4),H297))</f>
        <v/>
      </c>
      <c r="K297" s="27" t="str">
        <f aca="false">IF(A297="","",I297*IFERROR(INDEX(Parametros!$B$13:$B$15,MATCH(C297,Parametros!$A$13:$A$15,0)),0))</f>
        <v/>
      </c>
      <c r="L297" s="27" t="str">
        <f aca="false">IF(A297="","",I297*IFERROR(INDEX(Parametros!$C$13:$C$15,MATCH(C297,Parametros!$A$13:$A$15,0)),0))</f>
        <v/>
      </c>
      <c r="M297" s="27" t="str">
        <f aca="false">IF(A297="","",IF(C297="Wise Makers",F297,0))</f>
        <v/>
      </c>
    </row>
    <row r="298" customFormat="false" ht="15" hidden="false" customHeight="false" outlineLevel="0" collapsed="false">
      <c r="A298" s="25"/>
      <c r="F298" s="27"/>
      <c r="H298" s="27"/>
      <c r="I298" s="27"/>
      <c r="J298" s="27" t="str">
        <f aca="false">IF(A298="","",IF(C298="Wise Makers",F298*MIN(IF(G298="",Parametros!$B$5,G298),Parametros!$B$4),H298))</f>
        <v/>
      </c>
      <c r="K298" s="27" t="str">
        <f aca="false">IF(A298="","",I298*IFERROR(INDEX(Parametros!$B$13:$B$15,MATCH(C298,Parametros!$A$13:$A$15,0)),0))</f>
        <v/>
      </c>
      <c r="L298" s="27" t="str">
        <f aca="false">IF(A298="","",I298*IFERROR(INDEX(Parametros!$C$13:$C$15,MATCH(C298,Parametros!$A$13:$A$15,0)),0))</f>
        <v/>
      </c>
      <c r="M298" s="27" t="str">
        <f aca="false">IF(A298="","",IF(C298="Wise Makers",F298,0))</f>
        <v/>
      </c>
    </row>
    <row r="299" customFormat="false" ht="15" hidden="false" customHeight="false" outlineLevel="0" collapsed="false">
      <c r="A299" s="25"/>
      <c r="F299" s="27"/>
      <c r="H299" s="27"/>
      <c r="I299" s="27"/>
      <c r="J299" s="27" t="str">
        <f aca="false">IF(A299="","",IF(C299="Wise Makers",F299*MIN(IF(G299="",Parametros!$B$5,G299),Parametros!$B$4),H299))</f>
        <v/>
      </c>
      <c r="K299" s="27" t="str">
        <f aca="false">IF(A299="","",I299*IFERROR(INDEX(Parametros!$B$13:$B$15,MATCH(C299,Parametros!$A$13:$A$15,0)),0))</f>
        <v/>
      </c>
      <c r="L299" s="27" t="str">
        <f aca="false">IF(A299="","",I299*IFERROR(INDEX(Parametros!$C$13:$C$15,MATCH(C299,Parametros!$A$13:$A$15,0)),0))</f>
        <v/>
      </c>
      <c r="M299" s="27" t="str">
        <f aca="false">IF(A299="","",IF(C299="Wise Makers",F299,0))</f>
        <v/>
      </c>
    </row>
    <row r="300" customFormat="false" ht="15" hidden="false" customHeight="false" outlineLevel="0" collapsed="false">
      <c r="A300" s="25"/>
      <c r="F300" s="27"/>
      <c r="H300" s="27"/>
      <c r="I300" s="27"/>
      <c r="J300" s="27" t="str">
        <f aca="false">IF(A300="","",IF(C300="Wise Makers",F300*MIN(IF(G300="",Parametros!$B$5,G300),Parametros!$B$4),H300))</f>
        <v/>
      </c>
      <c r="K300" s="27" t="str">
        <f aca="false">IF(A300="","",I300*IFERROR(INDEX(Parametros!$B$13:$B$15,MATCH(C300,Parametros!$A$13:$A$15,0)),0))</f>
        <v/>
      </c>
      <c r="L300" s="27" t="str">
        <f aca="false">IF(A300="","",I300*IFERROR(INDEX(Parametros!$C$13:$C$15,MATCH(C300,Parametros!$A$13:$A$15,0)),0))</f>
        <v/>
      </c>
      <c r="M300" s="27" t="str">
        <f aca="false">IF(A300="","",IF(C300="Wise Makers",F300,0))</f>
        <v/>
      </c>
    </row>
  </sheetData>
  <dataValidations count="2">
    <dataValidation allowBlank="true" errorStyle="stop" operator="between" showDropDown="false" showErrorMessage="false" showInputMessage="false" sqref="C2:C300" type="list">
      <formula1>"Wise Makers,Tríade,Swallow"</formula1>
      <formula2>0</formula2>
    </dataValidation>
    <dataValidation allowBlank="true" errorStyle="stop" operator="between" showDropDown="false" showErrorMessage="false" showInputMessage="false" sqref="E2:E30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26.85" hidden="false" customHeight="false" outlineLevel="0" collapsed="false">
      <c r="A1" s="4" t="s">
        <v>122</v>
      </c>
      <c r="B1" s="4" t="s">
        <v>96</v>
      </c>
      <c r="C1" s="4" t="s">
        <v>123</v>
      </c>
      <c r="D1" s="4" t="s">
        <v>124</v>
      </c>
      <c r="E1" s="4" t="s">
        <v>99</v>
      </c>
    </row>
    <row r="2" customFormat="false" ht="15" hidden="false" customHeight="false" outlineLevel="0" collapsed="false">
      <c r="A2" s="25"/>
      <c r="D2" s="27"/>
    </row>
    <row r="3" customFormat="false" ht="15" hidden="false" customHeight="false" outlineLevel="0" collapsed="false">
      <c r="A3" s="25"/>
      <c r="D3" s="27"/>
    </row>
    <row r="4" customFormat="false" ht="15" hidden="false" customHeight="false" outlineLevel="0" collapsed="false">
      <c r="A4" s="25"/>
      <c r="D4" s="27"/>
    </row>
    <row r="5" customFormat="false" ht="15" hidden="false" customHeight="false" outlineLevel="0" collapsed="false">
      <c r="A5" s="25"/>
      <c r="D5" s="27"/>
    </row>
    <row r="6" customFormat="false" ht="15" hidden="false" customHeight="false" outlineLevel="0" collapsed="false">
      <c r="A6" s="25"/>
      <c r="D6" s="27"/>
    </row>
    <row r="7" customFormat="false" ht="15" hidden="false" customHeight="false" outlineLevel="0" collapsed="false">
      <c r="A7" s="25"/>
      <c r="D7" s="27"/>
    </row>
    <row r="8" customFormat="false" ht="15" hidden="false" customHeight="false" outlineLevel="0" collapsed="false">
      <c r="A8" s="25"/>
      <c r="D8" s="27"/>
    </row>
    <row r="9" customFormat="false" ht="15" hidden="false" customHeight="false" outlineLevel="0" collapsed="false">
      <c r="A9" s="25"/>
      <c r="D9" s="27"/>
    </row>
    <row r="10" customFormat="false" ht="15" hidden="false" customHeight="false" outlineLevel="0" collapsed="false">
      <c r="A10" s="25"/>
      <c r="D10" s="27"/>
    </row>
    <row r="11" customFormat="false" ht="15" hidden="false" customHeight="false" outlineLevel="0" collapsed="false">
      <c r="A11" s="25"/>
      <c r="D11" s="27"/>
    </row>
    <row r="12" customFormat="false" ht="15" hidden="false" customHeight="false" outlineLevel="0" collapsed="false">
      <c r="A12" s="25"/>
      <c r="D12" s="27"/>
    </row>
    <row r="13" customFormat="false" ht="15" hidden="false" customHeight="false" outlineLevel="0" collapsed="false">
      <c r="A13" s="25"/>
      <c r="D13" s="27"/>
    </row>
    <row r="14" customFormat="false" ht="15" hidden="false" customHeight="false" outlineLevel="0" collapsed="false">
      <c r="A14" s="25"/>
      <c r="D14" s="27"/>
    </row>
    <row r="15" customFormat="false" ht="15" hidden="false" customHeight="false" outlineLevel="0" collapsed="false">
      <c r="A15" s="25"/>
      <c r="D15" s="27"/>
    </row>
    <row r="16" customFormat="false" ht="15" hidden="false" customHeight="false" outlineLevel="0" collapsed="false">
      <c r="A16" s="25"/>
      <c r="D16" s="27"/>
    </row>
    <row r="17" customFormat="false" ht="15" hidden="false" customHeight="false" outlineLevel="0" collapsed="false">
      <c r="A17" s="25"/>
      <c r="D17" s="27"/>
    </row>
    <row r="18" customFormat="false" ht="15" hidden="false" customHeight="false" outlineLevel="0" collapsed="false">
      <c r="A18" s="25"/>
      <c r="D18" s="27"/>
    </row>
    <row r="19" customFormat="false" ht="15" hidden="false" customHeight="false" outlineLevel="0" collapsed="false">
      <c r="A19" s="25"/>
      <c r="D19" s="27"/>
    </row>
    <row r="20" customFormat="false" ht="15" hidden="false" customHeight="false" outlineLevel="0" collapsed="false">
      <c r="A20" s="25"/>
      <c r="D20" s="27"/>
    </row>
    <row r="21" customFormat="false" ht="15" hidden="false" customHeight="false" outlineLevel="0" collapsed="false">
      <c r="A21" s="25"/>
      <c r="D21" s="27"/>
    </row>
    <row r="22" customFormat="false" ht="15" hidden="false" customHeight="false" outlineLevel="0" collapsed="false">
      <c r="A22" s="25"/>
      <c r="D22" s="27"/>
    </row>
    <row r="23" customFormat="false" ht="15" hidden="false" customHeight="false" outlineLevel="0" collapsed="false">
      <c r="A23" s="25"/>
      <c r="D23" s="27"/>
    </row>
    <row r="24" customFormat="false" ht="15" hidden="false" customHeight="false" outlineLevel="0" collapsed="false">
      <c r="A24" s="25"/>
      <c r="D24" s="27"/>
    </row>
    <row r="25" customFormat="false" ht="15" hidden="false" customHeight="false" outlineLevel="0" collapsed="false">
      <c r="A25" s="25"/>
      <c r="D25" s="27"/>
    </row>
    <row r="26" customFormat="false" ht="15" hidden="false" customHeight="false" outlineLevel="0" collapsed="false">
      <c r="A26" s="25"/>
      <c r="D26" s="27"/>
    </row>
    <row r="27" customFormat="false" ht="15" hidden="false" customHeight="false" outlineLevel="0" collapsed="false">
      <c r="A27" s="25"/>
      <c r="D27" s="27"/>
    </row>
    <row r="28" customFormat="false" ht="15" hidden="false" customHeight="false" outlineLevel="0" collapsed="false">
      <c r="A28" s="25"/>
      <c r="D28" s="27"/>
    </row>
    <row r="29" customFormat="false" ht="15" hidden="false" customHeight="false" outlineLevel="0" collapsed="false">
      <c r="A29" s="25"/>
      <c r="D29" s="27"/>
    </row>
    <row r="30" customFormat="false" ht="15" hidden="false" customHeight="false" outlineLevel="0" collapsed="false">
      <c r="A30" s="25"/>
      <c r="D30" s="27"/>
    </row>
    <row r="31" customFormat="false" ht="15" hidden="false" customHeight="false" outlineLevel="0" collapsed="false">
      <c r="A31" s="25"/>
      <c r="D31" s="27"/>
    </row>
    <row r="32" customFormat="false" ht="15" hidden="false" customHeight="false" outlineLevel="0" collapsed="false">
      <c r="A32" s="25"/>
      <c r="D32" s="27"/>
    </row>
    <row r="33" customFormat="false" ht="15" hidden="false" customHeight="false" outlineLevel="0" collapsed="false">
      <c r="A33" s="25"/>
      <c r="D33" s="27"/>
    </row>
    <row r="34" customFormat="false" ht="15" hidden="false" customHeight="false" outlineLevel="0" collapsed="false">
      <c r="A34" s="25"/>
      <c r="D34" s="27"/>
    </row>
    <row r="35" customFormat="false" ht="15" hidden="false" customHeight="false" outlineLevel="0" collapsed="false">
      <c r="A35" s="25"/>
      <c r="D35" s="27"/>
    </row>
    <row r="36" customFormat="false" ht="15" hidden="false" customHeight="false" outlineLevel="0" collapsed="false">
      <c r="A36" s="25"/>
      <c r="D36" s="27"/>
    </row>
    <row r="37" customFormat="false" ht="15" hidden="false" customHeight="false" outlineLevel="0" collapsed="false">
      <c r="A37" s="25"/>
      <c r="D37" s="27"/>
    </row>
    <row r="38" customFormat="false" ht="15" hidden="false" customHeight="false" outlineLevel="0" collapsed="false">
      <c r="A38" s="25"/>
      <c r="D38" s="27"/>
    </row>
    <row r="39" customFormat="false" ht="15" hidden="false" customHeight="false" outlineLevel="0" collapsed="false">
      <c r="A39" s="25"/>
      <c r="D39" s="27"/>
    </row>
    <row r="40" customFormat="false" ht="15" hidden="false" customHeight="false" outlineLevel="0" collapsed="false">
      <c r="A40" s="25"/>
      <c r="D40" s="27"/>
    </row>
    <row r="41" customFormat="false" ht="15" hidden="false" customHeight="false" outlineLevel="0" collapsed="false">
      <c r="A41" s="25"/>
      <c r="D41" s="27"/>
    </row>
    <row r="42" customFormat="false" ht="15" hidden="false" customHeight="false" outlineLevel="0" collapsed="false">
      <c r="A42" s="25"/>
      <c r="D42" s="27"/>
    </row>
    <row r="43" customFormat="false" ht="15" hidden="false" customHeight="false" outlineLevel="0" collapsed="false">
      <c r="A43" s="25"/>
      <c r="D43" s="27"/>
    </row>
    <row r="44" customFormat="false" ht="15" hidden="false" customHeight="false" outlineLevel="0" collapsed="false">
      <c r="A44" s="25"/>
      <c r="D44" s="27"/>
    </row>
    <row r="45" customFormat="false" ht="15" hidden="false" customHeight="false" outlineLevel="0" collapsed="false">
      <c r="A45" s="25"/>
      <c r="D45" s="27"/>
    </row>
    <row r="46" customFormat="false" ht="15" hidden="false" customHeight="false" outlineLevel="0" collapsed="false">
      <c r="A46" s="25"/>
      <c r="D46" s="27"/>
    </row>
    <row r="47" customFormat="false" ht="15" hidden="false" customHeight="false" outlineLevel="0" collapsed="false">
      <c r="A47" s="25"/>
      <c r="D47" s="27"/>
    </row>
    <row r="48" customFormat="false" ht="15" hidden="false" customHeight="false" outlineLevel="0" collapsed="false">
      <c r="A48" s="25"/>
      <c r="D48" s="27"/>
    </row>
    <row r="49" customFormat="false" ht="15" hidden="false" customHeight="false" outlineLevel="0" collapsed="false">
      <c r="A49" s="25"/>
      <c r="D49" s="27"/>
    </row>
    <row r="50" customFormat="false" ht="15" hidden="false" customHeight="false" outlineLevel="0" collapsed="false">
      <c r="A50" s="25"/>
      <c r="D50" s="27"/>
    </row>
    <row r="51" customFormat="false" ht="15" hidden="false" customHeight="false" outlineLevel="0" collapsed="false">
      <c r="A51" s="25"/>
      <c r="D51" s="27"/>
    </row>
    <row r="52" customFormat="false" ht="15" hidden="false" customHeight="false" outlineLevel="0" collapsed="false">
      <c r="A52" s="25"/>
      <c r="D52" s="27"/>
    </row>
    <row r="53" customFormat="false" ht="15" hidden="false" customHeight="false" outlineLevel="0" collapsed="false">
      <c r="A53" s="25"/>
      <c r="D53" s="27"/>
    </row>
    <row r="54" customFormat="false" ht="15" hidden="false" customHeight="false" outlineLevel="0" collapsed="false">
      <c r="A54" s="25"/>
      <c r="D54" s="27"/>
    </row>
    <row r="55" customFormat="false" ht="15" hidden="false" customHeight="false" outlineLevel="0" collapsed="false">
      <c r="A55" s="25"/>
      <c r="D55" s="27"/>
    </row>
    <row r="56" customFormat="false" ht="15" hidden="false" customHeight="false" outlineLevel="0" collapsed="false">
      <c r="A56" s="25"/>
      <c r="D56" s="27"/>
    </row>
    <row r="57" customFormat="false" ht="15" hidden="false" customHeight="false" outlineLevel="0" collapsed="false">
      <c r="A57" s="25"/>
      <c r="D57" s="27"/>
    </row>
    <row r="58" customFormat="false" ht="15" hidden="false" customHeight="false" outlineLevel="0" collapsed="false">
      <c r="A58" s="25"/>
      <c r="D58" s="27"/>
    </row>
    <row r="59" customFormat="false" ht="15" hidden="false" customHeight="false" outlineLevel="0" collapsed="false">
      <c r="A59" s="25"/>
      <c r="D59" s="27"/>
    </row>
    <row r="60" customFormat="false" ht="15" hidden="false" customHeight="false" outlineLevel="0" collapsed="false">
      <c r="A60" s="25"/>
      <c r="D60" s="27"/>
    </row>
    <row r="61" customFormat="false" ht="15" hidden="false" customHeight="false" outlineLevel="0" collapsed="false">
      <c r="A61" s="25"/>
      <c r="D61" s="27"/>
    </row>
    <row r="62" customFormat="false" ht="15" hidden="false" customHeight="false" outlineLevel="0" collapsed="false">
      <c r="A62" s="25"/>
      <c r="D62" s="27"/>
    </row>
    <row r="63" customFormat="false" ht="15" hidden="false" customHeight="false" outlineLevel="0" collapsed="false">
      <c r="A63" s="25"/>
      <c r="D63" s="27"/>
    </row>
    <row r="64" customFormat="false" ht="15" hidden="false" customHeight="false" outlineLevel="0" collapsed="false">
      <c r="A64" s="25"/>
      <c r="D64" s="27"/>
    </row>
    <row r="65" customFormat="false" ht="15" hidden="false" customHeight="false" outlineLevel="0" collapsed="false">
      <c r="A65" s="25"/>
      <c r="D65" s="27"/>
    </row>
    <row r="66" customFormat="false" ht="15" hidden="false" customHeight="false" outlineLevel="0" collapsed="false">
      <c r="A66" s="25"/>
      <c r="D66" s="27"/>
    </row>
    <row r="67" customFormat="false" ht="15" hidden="false" customHeight="false" outlineLevel="0" collapsed="false">
      <c r="A67" s="25"/>
      <c r="D67" s="27"/>
    </row>
    <row r="68" customFormat="false" ht="15" hidden="false" customHeight="false" outlineLevel="0" collapsed="false">
      <c r="A68" s="25"/>
      <c r="D68" s="27"/>
    </row>
    <row r="69" customFormat="false" ht="15" hidden="false" customHeight="false" outlineLevel="0" collapsed="false">
      <c r="A69" s="25"/>
      <c r="D69" s="27"/>
    </row>
    <row r="70" customFormat="false" ht="15" hidden="false" customHeight="false" outlineLevel="0" collapsed="false">
      <c r="A70" s="25"/>
      <c r="D70" s="27"/>
    </row>
    <row r="71" customFormat="false" ht="15" hidden="false" customHeight="false" outlineLevel="0" collapsed="false">
      <c r="A71" s="25"/>
      <c r="D71" s="27"/>
    </row>
    <row r="72" customFormat="false" ht="15" hidden="false" customHeight="false" outlineLevel="0" collapsed="false">
      <c r="A72" s="25"/>
      <c r="D72" s="27"/>
    </row>
    <row r="73" customFormat="false" ht="15" hidden="false" customHeight="false" outlineLevel="0" collapsed="false">
      <c r="A73" s="25"/>
      <c r="D73" s="27"/>
    </row>
    <row r="74" customFormat="false" ht="15" hidden="false" customHeight="false" outlineLevel="0" collapsed="false">
      <c r="A74" s="25"/>
      <c r="D74" s="27"/>
    </row>
    <row r="75" customFormat="false" ht="15" hidden="false" customHeight="false" outlineLevel="0" collapsed="false">
      <c r="A75" s="25"/>
      <c r="D75" s="27"/>
    </row>
    <row r="76" customFormat="false" ht="15" hidden="false" customHeight="false" outlineLevel="0" collapsed="false">
      <c r="A76" s="25"/>
      <c r="D76" s="27"/>
    </row>
    <row r="77" customFormat="false" ht="15" hidden="false" customHeight="false" outlineLevel="0" collapsed="false">
      <c r="A77" s="25"/>
      <c r="D77" s="27"/>
    </row>
    <row r="78" customFormat="false" ht="15" hidden="false" customHeight="false" outlineLevel="0" collapsed="false">
      <c r="A78" s="25"/>
      <c r="D78" s="27"/>
    </row>
    <row r="79" customFormat="false" ht="15" hidden="false" customHeight="false" outlineLevel="0" collapsed="false">
      <c r="A79" s="25"/>
      <c r="D79" s="27"/>
    </row>
    <row r="80" customFormat="false" ht="15" hidden="false" customHeight="false" outlineLevel="0" collapsed="false">
      <c r="A80" s="25"/>
      <c r="D80" s="27"/>
    </row>
    <row r="81" customFormat="false" ht="15" hidden="false" customHeight="false" outlineLevel="0" collapsed="false">
      <c r="A81" s="25"/>
      <c r="D81" s="27"/>
    </row>
    <row r="82" customFormat="false" ht="15" hidden="false" customHeight="false" outlineLevel="0" collapsed="false">
      <c r="A82" s="25"/>
      <c r="D82" s="27"/>
    </row>
    <row r="83" customFormat="false" ht="15" hidden="false" customHeight="false" outlineLevel="0" collapsed="false">
      <c r="A83" s="25"/>
      <c r="D83" s="27"/>
    </row>
    <row r="84" customFormat="false" ht="15" hidden="false" customHeight="false" outlineLevel="0" collapsed="false">
      <c r="A84" s="25"/>
      <c r="D84" s="27"/>
    </row>
    <row r="85" customFormat="false" ht="15" hidden="false" customHeight="false" outlineLevel="0" collapsed="false">
      <c r="A85" s="25"/>
      <c r="D85" s="27"/>
    </row>
    <row r="86" customFormat="false" ht="15" hidden="false" customHeight="false" outlineLevel="0" collapsed="false">
      <c r="A86" s="25"/>
      <c r="D86" s="27"/>
    </row>
    <row r="87" customFormat="false" ht="15" hidden="false" customHeight="false" outlineLevel="0" collapsed="false">
      <c r="A87" s="25"/>
      <c r="D87" s="27"/>
    </row>
    <row r="88" customFormat="false" ht="15" hidden="false" customHeight="false" outlineLevel="0" collapsed="false">
      <c r="A88" s="25"/>
      <c r="D88" s="27"/>
    </row>
    <row r="89" customFormat="false" ht="15" hidden="false" customHeight="false" outlineLevel="0" collapsed="false">
      <c r="A89" s="25"/>
      <c r="D89" s="27"/>
    </row>
    <row r="90" customFormat="false" ht="15" hidden="false" customHeight="false" outlineLevel="0" collapsed="false">
      <c r="A90" s="25"/>
      <c r="D90" s="27"/>
    </row>
    <row r="91" customFormat="false" ht="15" hidden="false" customHeight="false" outlineLevel="0" collapsed="false">
      <c r="A91" s="25"/>
      <c r="D91" s="27"/>
    </row>
    <row r="92" customFormat="false" ht="15" hidden="false" customHeight="false" outlineLevel="0" collapsed="false">
      <c r="A92" s="25"/>
      <c r="D92" s="27"/>
    </row>
    <row r="93" customFormat="false" ht="15" hidden="false" customHeight="false" outlineLevel="0" collapsed="false">
      <c r="A93" s="25"/>
      <c r="D93" s="27"/>
    </row>
    <row r="94" customFormat="false" ht="15" hidden="false" customHeight="false" outlineLevel="0" collapsed="false">
      <c r="A94" s="25"/>
      <c r="D94" s="27"/>
    </row>
    <row r="95" customFormat="false" ht="15" hidden="false" customHeight="false" outlineLevel="0" collapsed="false">
      <c r="A95" s="25"/>
      <c r="D95" s="27"/>
    </row>
    <row r="96" customFormat="false" ht="15" hidden="false" customHeight="false" outlineLevel="0" collapsed="false">
      <c r="A96" s="25"/>
      <c r="D96" s="27"/>
    </row>
    <row r="97" customFormat="false" ht="15" hidden="false" customHeight="false" outlineLevel="0" collapsed="false">
      <c r="A97" s="25"/>
      <c r="D97" s="27"/>
    </row>
    <row r="98" customFormat="false" ht="15" hidden="false" customHeight="false" outlineLevel="0" collapsed="false">
      <c r="A98" s="25"/>
      <c r="D98" s="27"/>
    </row>
    <row r="99" customFormat="false" ht="15" hidden="false" customHeight="false" outlineLevel="0" collapsed="false">
      <c r="A99" s="25"/>
      <c r="D99" s="27"/>
    </row>
    <row r="100" customFormat="false" ht="15" hidden="false" customHeight="false" outlineLevel="0" collapsed="false">
      <c r="A100" s="25"/>
      <c r="D100" s="27"/>
    </row>
    <row r="101" customFormat="false" ht="15" hidden="false" customHeight="false" outlineLevel="0" collapsed="false">
      <c r="A101" s="25"/>
      <c r="D101" s="27"/>
    </row>
    <row r="102" customFormat="false" ht="15" hidden="false" customHeight="false" outlineLevel="0" collapsed="false">
      <c r="A102" s="25"/>
      <c r="D102" s="27"/>
    </row>
    <row r="103" customFormat="false" ht="15" hidden="false" customHeight="false" outlineLevel="0" collapsed="false">
      <c r="A103" s="25"/>
      <c r="D103" s="27"/>
    </row>
    <row r="104" customFormat="false" ht="15" hidden="false" customHeight="false" outlineLevel="0" collapsed="false">
      <c r="A104" s="25"/>
      <c r="D104" s="27"/>
    </row>
    <row r="105" customFormat="false" ht="15" hidden="false" customHeight="false" outlineLevel="0" collapsed="false">
      <c r="A105" s="25"/>
      <c r="D105" s="27"/>
    </row>
    <row r="106" customFormat="false" ht="15" hidden="false" customHeight="false" outlineLevel="0" collapsed="false">
      <c r="A106" s="25"/>
      <c r="D106" s="27"/>
    </row>
    <row r="107" customFormat="false" ht="15" hidden="false" customHeight="false" outlineLevel="0" collapsed="false">
      <c r="A107" s="25"/>
      <c r="D107" s="27"/>
    </row>
    <row r="108" customFormat="false" ht="15" hidden="false" customHeight="false" outlineLevel="0" collapsed="false">
      <c r="A108" s="25"/>
      <c r="D108" s="27"/>
    </row>
    <row r="109" customFormat="false" ht="15" hidden="false" customHeight="false" outlineLevel="0" collapsed="false">
      <c r="A109" s="25"/>
      <c r="D109" s="27"/>
    </row>
    <row r="110" customFormat="false" ht="15" hidden="false" customHeight="false" outlineLevel="0" collapsed="false">
      <c r="A110" s="25"/>
      <c r="D110" s="27"/>
    </row>
    <row r="111" customFormat="false" ht="15" hidden="false" customHeight="false" outlineLevel="0" collapsed="false">
      <c r="A111" s="25"/>
      <c r="D111" s="27"/>
    </row>
    <row r="112" customFormat="false" ht="15" hidden="false" customHeight="false" outlineLevel="0" collapsed="false">
      <c r="A112" s="25"/>
      <c r="D112" s="27"/>
    </row>
    <row r="113" customFormat="false" ht="15" hidden="false" customHeight="false" outlineLevel="0" collapsed="false">
      <c r="A113" s="25"/>
      <c r="D113" s="27"/>
    </row>
    <row r="114" customFormat="false" ht="15" hidden="false" customHeight="false" outlineLevel="0" collapsed="false">
      <c r="A114" s="25"/>
      <c r="D114" s="27"/>
    </row>
    <row r="115" customFormat="false" ht="15" hidden="false" customHeight="false" outlineLevel="0" collapsed="false">
      <c r="A115" s="25"/>
      <c r="D115" s="27"/>
    </row>
    <row r="116" customFormat="false" ht="15" hidden="false" customHeight="false" outlineLevel="0" collapsed="false">
      <c r="A116" s="25"/>
      <c r="D116" s="27"/>
    </row>
    <row r="117" customFormat="false" ht="15" hidden="false" customHeight="false" outlineLevel="0" collapsed="false">
      <c r="A117" s="25"/>
      <c r="D117" s="27"/>
    </row>
    <row r="118" customFormat="false" ht="15" hidden="false" customHeight="false" outlineLevel="0" collapsed="false">
      <c r="A118" s="25"/>
      <c r="D118" s="27"/>
    </row>
    <row r="119" customFormat="false" ht="15" hidden="false" customHeight="false" outlineLevel="0" collapsed="false">
      <c r="A119" s="25"/>
      <c r="D119" s="27"/>
    </row>
    <row r="120" customFormat="false" ht="15" hidden="false" customHeight="false" outlineLevel="0" collapsed="false">
      <c r="A120" s="25"/>
      <c r="D120" s="27"/>
    </row>
    <row r="121" customFormat="false" ht="15" hidden="false" customHeight="false" outlineLevel="0" collapsed="false">
      <c r="A121" s="25"/>
      <c r="D121" s="27"/>
    </row>
    <row r="122" customFormat="false" ht="15" hidden="false" customHeight="false" outlineLevel="0" collapsed="false">
      <c r="A122" s="25"/>
      <c r="D122" s="27"/>
    </row>
    <row r="123" customFormat="false" ht="15" hidden="false" customHeight="false" outlineLevel="0" collapsed="false">
      <c r="A123" s="25"/>
      <c r="D123" s="27"/>
    </row>
    <row r="124" customFormat="false" ht="15" hidden="false" customHeight="false" outlineLevel="0" collapsed="false">
      <c r="A124" s="25"/>
      <c r="D124" s="27"/>
    </row>
    <row r="125" customFormat="false" ht="15" hidden="false" customHeight="false" outlineLevel="0" collapsed="false">
      <c r="A125" s="25"/>
      <c r="D125" s="27"/>
    </row>
    <row r="126" customFormat="false" ht="15" hidden="false" customHeight="false" outlineLevel="0" collapsed="false">
      <c r="A126" s="25"/>
      <c r="D126" s="27"/>
    </row>
    <row r="127" customFormat="false" ht="15" hidden="false" customHeight="false" outlineLevel="0" collapsed="false">
      <c r="A127" s="25"/>
      <c r="D127" s="27"/>
    </row>
    <row r="128" customFormat="false" ht="15" hidden="false" customHeight="false" outlineLevel="0" collapsed="false">
      <c r="A128" s="25"/>
      <c r="D128" s="27"/>
    </row>
    <row r="129" customFormat="false" ht="15" hidden="false" customHeight="false" outlineLevel="0" collapsed="false">
      <c r="A129" s="25"/>
      <c r="D129" s="27"/>
    </row>
    <row r="130" customFormat="false" ht="15" hidden="false" customHeight="false" outlineLevel="0" collapsed="false">
      <c r="A130" s="25"/>
      <c r="D130" s="27"/>
    </row>
    <row r="131" customFormat="false" ht="15" hidden="false" customHeight="false" outlineLevel="0" collapsed="false">
      <c r="A131" s="25"/>
      <c r="D131" s="27"/>
    </row>
    <row r="132" customFormat="false" ht="15" hidden="false" customHeight="false" outlineLevel="0" collapsed="false">
      <c r="A132" s="25"/>
      <c r="D132" s="27"/>
    </row>
    <row r="133" customFormat="false" ht="15" hidden="false" customHeight="false" outlineLevel="0" collapsed="false">
      <c r="A133" s="25"/>
      <c r="D133" s="27"/>
    </row>
    <row r="134" customFormat="false" ht="15" hidden="false" customHeight="false" outlineLevel="0" collapsed="false">
      <c r="A134" s="25"/>
      <c r="D134" s="27"/>
    </row>
    <row r="135" customFormat="false" ht="15" hidden="false" customHeight="false" outlineLevel="0" collapsed="false">
      <c r="A135" s="25"/>
      <c r="D135" s="27"/>
    </row>
    <row r="136" customFormat="false" ht="15" hidden="false" customHeight="false" outlineLevel="0" collapsed="false">
      <c r="A136" s="25"/>
      <c r="D136" s="27"/>
    </row>
    <row r="137" customFormat="false" ht="15" hidden="false" customHeight="false" outlineLevel="0" collapsed="false">
      <c r="A137" s="25"/>
      <c r="D137" s="27"/>
    </row>
    <row r="138" customFormat="false" ht="15" hidden="false" customHeight="false" outlineLevel="0" collapsed="false">
      <c r="A138" s="25"/>
      <c r="D138" s="27"/>
    </row>
    <row r="139" customFormat="false" ht="15" hidden="false" customHeight="false" outlineLevel="0" collapsed="false">
      <c r="A139" s="25"/>
      <c r="D139" s="27"/>
    </row>
    <row r="140" customFormat="false" ht="15" hidden="false" customHeight="false" outlineLevel="0" collapsed="false">
      <c r="A140" s="25"/>
      <c r="D140" s="27"/>
    </row>
    <row r="141" customFormat="false" ht="15" hidden="false" customHeight="false" outlineLevel="0" collapsed="false">
      <c r="A141" s="25"/>
      <c r="D141" s="27"/>
    </row>
    <row r="142" customFormat="false" ht="15" hidden="false" customHeight="false" outlineLevel="0" collapsed="false">
      <c r="A142" s="25"/>
      <c r="D142" s="27"/>
    </row>
    <row r="143" customFormat="false" ht="15" hidden="false" customHeight="false" outlineLevel="0" collapsed="false">
      <c r="A143" s="25"/>
      <c r="D143" s="27"/>
    </row>
    <row r="144" customFormat="false" ht="15" hidden="false" customHeight="false" outlineLevel="0" collapsed="false">
      <c r="A144" s="25"/>
      <c r="D144" s="27"/>
    </row>
    <row r="145" customFormat="false" ht="15" hidden="false" customHeight="false" outlineLevel="0" collapsed="false">
      <c r="A145" s="25"/>
      <c r="D145" s="27"/>
    </row>
    <row r="146" customFormat="false" ht="15" hidden="false" customHeight="false" outlineLevel="0" collapsed="false">
      <c r="A146" s="25"/>
      <c r="D146" s="27"/>
    </row>
    <row r="147" customFormat="false" ht="15" hidden="false" customHeight="false" outlineLevel="0" collapsed="false">
      <c r="A147" s="25"/>
      <c r="D147" s="27"/>
    </row>
    <row r="148" customFormat="false" ht="15" hidden="false" customHeight="false" outlineLevel="0" collapsed="false">
      <c r="A148" s="25"/>
      <c r="D148" s="27"/>
    </row>
    <row r="149" customFormat="false" ht="15" hidden="false" customHeight="false" outlineLevel="0" collapsed="false">
      <c r="A149" s="25"/>
      <c r="D149" s="27"/>
    </row>
    <row r="150" customFormat="false" ht="15" hidden="false" customHeight="false" outlineLevel="0" collapsed="false">
      <c r="A150" s="25"/>
      <c r="D150" s="27"/>
    </row>
    <row r="151" customFormat="false" ht="15" hidden="false" customHeight="false" outlineLevel="0" collapsed="false">
      <c r="A151" s="25"/>
      <c r="D151" s="27"/>
    </row>
    <row r="152" customFormat="false" ht="15" hidden="false" customHeight="false" outlineLevel="0" collapsed="false">
      <c r="A152" s="25"/>
      <c r="D152" s="27"/>
    </row>
    <row r="153" customFormat="false" ht="15" hidden="false" customHeight="false" outlineLevel="0" collapsed="false">
      <c r="A153" s="25"/>
      <c r="D153" s="27"/>
    </row>
    <row r="154" customFormat="false" ht="15" hidden="false" customHeight="false" outlineLevel="0" collapsed="false">
      <c r="A154" s="25"/>
      <c r="D154" s="27"/>
    </row>
    <row r="155" customFormat="false" ht="15" hidden="false" customHeight="false" outlineLevel="0" collapsed="false">
      <c r="A155" s="25"/>
      <c r="D155" s="27"/>
    </row>
    <row r="156" customFormat="false" ht="15" hidden="false" customHeight="false" outlineLevel="0" collapsed="false">
      <c r="A156" s="25"/>
      <c r="D156" s="27"/>
    </row>
    <row r="157" customFormat="false" ht="15" hidden="false" customHeight="false" outlineLevel="0" collapsed="false">
      <c r="A157" s="25"/>
      <c r="D157" s="27"/>
    </row>
    <row r="158" customFormat="false" ht="15" hidden="false" customHeight="false" outlineLevel="0" collapsed="false">
      <c r="A158" s="25"/>
      <c r="D158" s="27"/>
    </row>
    <row r="159" customFormat="false" ht="15" hidden="false" customHeight="false" outlineLevel="0" collapsed="false">
      <c r="A159" s="25"/>
      <c r="D159" s="27"/>
    </row>
    <row r="160" customFormat="false" ht="15" hidden="false" customHeight="false" outlineLevel="0" collapsed="false">
      <c r="A160" s="25"/>
      <c r="D160" s="27"/>
    </row>
    <row r="161" customFormat="false" ht="15" hidden="false" customHeight="false" outlineLevel="0" collapsed="false">
      <c r="A161" s="25"/>
      <c r="D161" s="27"/>
    </row>
    <row r="162" customFormat="false" ht="15" hidden="false" customHeight="false" outlineLevel="0" collapsed="false">
      <c r="A162" s="25"/>
      <c r="D162" s="27"/>
    </row>
    <row r="163" customFormat="false" ht="15" hidden="false" customHeight="false" outlineLevel="0" collapsed="false">
      <c r="A163" s="25"/>
      <c r="D163" s="27"/>
    </row>
    <row r="164" customFormat="false" ht="15" hidden="false" customHeight="false" outlineLevel="0" collapsed="false">
      <c r="A164" s="25"/>
      <c r="D164" s="27"/>
    </row>
    <row r="165" customFormat="false" ht="15" hidden="false" customHeight="false" outlineLevel="0" collapsed="false">
      <c r="A165" s="25"/>
      <c r="D165" s="27"/>
    </row>
    <row r="166" customFormat="false" ht="15" hidden="false" customHeight="false" outlineLevel="0" collapsed="false">
      <c r="A166" s="25"/>
      <c r="D166" s="27"/>
    </row>
    <row r="167" customFormat="false" ht="15" hidden="false" customHeight="false" outlineLevel="0" collapsed="false">
      <c r="A167" s="25"/>
      <c r="D167" s="27"/>
    </row>
    <row r="168" customFormat="false" ht="15" hidden="false" customHeight="false" outlineLevel="0" collapsed="false">
      <c r="A168" s="25"/>
      <c r="D168" s="27"/>
    </row>
    <row r="169" customFormat="false" ht="15" hidden="false" customHeight="false" outlineLevel="0" collapsed="false">
      <c r="A169" s="25"/>
      <c r="D169" s="27"/>
    </row>
    <row r="170" customFormat="false" ht="15" hidden="false" customHeight="false" outlineLevel="0" collapsed="false">
      <c r="A170" s="25"/>
      <c r="D170" s="27"/>
    </row>
    <row r="171" customFormat="false" ht="15" hidden="false" customHeight="false" outlineLevel="0" collapsed="false">
      <c r="A171" s="25"/>
      <c r="D171" s="27"/>
    </row>
    <row r="172" customFormat="false" ht="15" hidden="false" customHeight="false" outlineLevel="0" collapsed="false">
      <c r="A172" s="25"/>
      <c r="D172" s="27"/>
    </row>
    <row r="173" customFormat="false" ht="15" hidden="false" customHeight="false" outlineLevel="0" collapsed="false">
      <c r="A173" s="25"/>
      <c r="D173" s="27"/>
    </row>
    <row r="174" customFormat="false" ht="15" hidden="false" customHeight="false" outlineLevel="0" collapsed="false">
      <c r="A174" s="25"/>
      <c r="D174" s="27"/>
    </row>
    <row r="175" customFormat="false" ht="15" hidden="false" customHeight="false" outlineLevel="0" collapsed="false">
      <c r="A175" s="25"/>
      <c r="D175" s="27"/>
    </row>
    <row r="176" customFormat="false" ht="15" hidden="false" customHeight="false" outlineLevel="0" collapsed="false">
      <c r="A176" s="25"/>
      <c r="D176" s="27"/>
    </row>
    <row r="177" customFormat="false" ht="15" hidden="false" customHeight="false" outlineLevel="0" collapsed="false">
      <c r="A177" s="25"/>
      <c r="D177" s="27"/>
    </row>
    <row r="178" customFormat="false" ht="15" hidden="false" customHeight="false" outlineLevel="0" collapsed="false">
      <c r="A178" s="25"/>
      <c r="D178" s="27"/>
    </row>
    <row r="179" customFormat="false" ht="15" hidden="false" customHeight="false" outlineLevel="0" collapsed="false">
      <c r="A179" s="25"/>
      <c r="D179" s="27"/>
    </row>
    <row r="180" customFormat="false" ht="15" hidden="false" customHeight="false" outlineLevel="0" collapsed="false">
      <c r="A180" s="25"/>
      <c r="D180" s="27"/>
    </row>
    <row r="181" customFormat="false" ht="15" hidden="false" customHeight="false" outlineLevel="0" collapsed="false">
      <c r="A181" s="25"/>
      <c r="D181" s="27"/>
    </row>
    <row r="182" customFormat="false" ht="15" hidden="false" customHeight="false" outlineLevel="0" collapsed="false">
      <c r="A182" s="25"/>
      <c r="D182" s="27"/>
    </row>
    <row r="183" customFormat="false" ht="15" hidden="false" customHeight="false" outlineLevel="0" collapsed="false">
      <c r="A183" s="25"/>
      <c r="D183" s="27"/>
    </row>
    <row r="184" customFormat="false" ht="15" hidden="false" customHeight="false" outlineLevel="0" collapsed="false">
      <c r="A184" s="25"/>
      <c r="D184" s="27"/>
    </row>
    <row r="185" customFormat="false" ht="15" hidden="false" customHeight="false" outlineLevel="0" collapsed="false">
      <c r="A185" s="25"/>
      <c r="D185" s="27"/>
    </row>
    <row r="186" customFormat="false" ht="15" hidden="false" customHeight="false" outlineLevel="0" collapsed="false">
      <c r="A186" s="25"/>
      <c r="D186" s="27"/>
    </row>
    <row r="187" customFormat="false" ht="15" hidden="false" customHeight="false" outlineLevel="0" collapsed="false">
      <c r="A187" s="25"/>
      <c r="D187" s="27"/>
    </row>
    <row r="188" customFormat="false" ht="15" hidden="false" customHeight="false" outlineLevel="0" collapsed="false">
      <c r="A188" s="25"/>
      <c r="D188" s="27"/>
    </row>
    <row r="189" customFormat="false" ht="15" hidden="false" customHeight="false" outlineLevel="0" collapsed="false">
      <c r="A189" s="25"/>
      <c r="D189" s="27"/>
    </row>
    <row r="190" customFormat="false" ht="15" hidden="false" customHeight="false" outlineLevel="0" collapsed="false">
      <c r="A190" s="25"/>
      <c r="D190" s="27"/>
    </row>
    <row r="191" customFormat="false" ht="15" hidden="false" customHeight="false" outlineLevel="0" collapsed="false">
      <c r="A191" s="25"/>
      <c r="D191" s="27"/>
    </row>
    <row r="192" customFormat="false" ht="15" hidden="false" customHeight="false" outlineLevel="0" collapsed="false">
      <c r="A192" s="25"/>
      <c r="D192" s="27"/>
    </row>
    <row r="193" customFormat="false" ht="15" hidden="false" customHeight="false" outlineLevel="0" collapsed="false">
      <c r="A193" s="25"/>
      <c r="D193" s="27"/>
    </row>
    <row r="194" customFormat="false" ht="15" hidden="false" customHeight="false" outlineLevel="0" collapsed="false">
      <c r="A194" s="25"/>
      <c r="D194" s="27"/>
    </row>
    <row r="195" customFormat="false" ht="15" hidden="false" customHeight="false" outlineLevel="0" collapsed="false">
      <c r="A195" s="25"/>
      <c r="D195" s="27"/>
    </row>
    <row r="196" customFormat="false" ht="15" hidden="false" customHeight="false" outlineLevel="0" collapsed="false">
      <c r="A196" s="25"/>
      <c r="D196" s="27"/>
    </row>
    <row r="197" customFormat="false" ht="15" hidden="false" customHeight="false" outlineLevel="0" collapsed="false">
      <c r="A197" s="25"/>
      <c r="D197" s="27"/>
    </row>
    <row r="198" customFormat="false" ht="15" hidden="false" customHeight="false" outlineLevel="0" collapsed="false">
      <c r="A198" s="25"/>
      <c r="D198" s="27"/>
    </row>
    <row r="199" customFormat="false" ht="15" hidden="false" customHeight="false" outlineLevel="0" collapsed="false">
      <c r="A199" s="25"/>
      <c r="D199" s="27"/>
    </row>
    <row r="200" customFormat="false" ht="15" hidden="false" customHeight="false" outlineLevel="0" collapsed="false">
      <c r="A200" s="25"/>
      <c r="D200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6" min="4" style="0" width="18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29" t="s">
        <v>125</v>
      </c>
    </row>
    <row r="2" customFormat="false" ht="15" hidden="false" customHeight="false" outlineLevel="0" collapsed="false">
      <c r="A2" s="0" t="s">
        <v>126</v>
      </c>
      <c r="B2" s="30" t="n">
        <f aca="false">Parametros!B7</f>
        <v>46296</v>
      </c>
      <c r="C2" s="30" t="n">
        <f aca="false">Parametros!B8</f>
        <v>46752</v>
      </c>
    </row>
    <row r="3" customFormat="false" ht="15" hidden="false" customHeight="false" outlineLevel="0" collapsed="false">
      <c r="A3" s="11" t="s">
        <v>127</v>
      </c>
      <c r="B3" s="11" t="s">
        <v>16</v>
      </c>
      <c r="C3" s="11" t="s">
        <v>128</v>
      </c>
    </row>
    <row r="4" customFormat="false" ht="15" hidden="false" customHeight="false" outlineLevel="0" collapsed="false">
      <c r="A4" s="13" t="s">
        <v>129</v>
      </c>
    </row>
    <row r="5" customFormat="false" ht="15" hidden="false" customHeight="false" outlineLevel="0" collapsed="false">
      <c r="A5" s="5" t="s">
        <v>130</v>
      </c>
      <c r="B5" s="31" t="n">
        <f aca="false">SUMIFS(Horas!$E:$E,Horas!$A:$A,"&gt;="&amp;Parametros!$B$7,Horas!$A:$A,"&lt;="&amp;Parametros!$B$8)/60</f>
        <v>40</v>
      </c>
      <c r="C5" s="5" t="s">
        <v>131</v>
      </c>
    </row>
    <row r="6" customFormat="false" ht="15" hidden="false" customHeight="false" outlineLevel="0" collapsed="false">
      <c r="A6" s="5" t="s">
        <v>132</v>
      </c>
      <c r="B6" s="18" t="n">
        <f aca="false">SUMIFS(Horas!$G:$G,Horas!$A:$A,"&gt;="&amp;Parametros!$B$7,Horas!$A:$A,"&lt;="&amp;Parametros!$B$8)</f>
        <v>818.181818181818</v>
      </c>
      <c r="C6" s="5" t="s">
        <v>133</v>
      </c>
    </row>
    <row r="7" customFormat="false" ht="15" hidden="false" customHeight="false" outlineLevel="0" collapsed="false">
      <c r="A7" s="5" t="s">
        <v>134</v>
      </c>
      <c r="B7" s="18" t="n">
        <f aca="false">SUMIFS(Receita_Comissoes!$K:$K,Receita_Comissoes!$A:$A,"&gt;="&amp;Parametros!$B$7,Receita_Comissoes!$A:$A,"&lt;="&amp;Parametros!$B$8)</f>
        <v>2400</v>
      </c>
      <c r="C7" s="5"/>
    </row>
    <row r="8" customFormat="false" ht="15" hidden="false" customHeight="false" outlineLevel="0" collapsed="false">
      <c r="A8" s="5" t="s">
        <v>135</v>
      </c>
      <c r="B8" s="18" t="n">
        <f aca="false">SUMIFS(Receita_Comissoes!$L:$L,Receita_Comissoes!$A:$A,"&gt;="&amp;Parametros!$B$7,Receita_Comissoes!$A:$A,"&lt;="&amp;Parametros!$B$8)</f>
        <v>600</v>
      </c>
      <c r="C8" s="5"/>
    </row>
    <row r="9" customFormat="false" ht="15" hidden="false" customHeight="false" outlineLevel="0" collapsed="false">
      <c r="A9" s="5" t="s">
        <v>136</v>
      </c>
      <c r="B9" s="18" t="n">
        <f aca="false">SUMIFS(Custos_Diretos!$E:$E,Custos_Diretos!$A:$A,"&gt;="&amp;Parametros!$B$7,Custos_Diretos!$A:$A,"&lt;="&amp;Parametros!$B$8)</f>
        <v>500</v>
      </c>
      <c r="C9" s="5"/>
    </row>
    <row r="10" customFormat="false" ht="15" hidden="false" customHeight="false" outlineLevel="0" collapsed="false">
      <c r="A10" s="32" t="s">
        <v>137</v>
      </c>
      <c r="B10" s="33" t="n">
        <f aca="false">SUM(B6:B9)</f>
        <v>4318.18181818182</v>
      </c>
      <c r="C10" s="5"/>
    </row>
    <row r="11" customFormat="false" ht="15" hidden="false" customHeight="false" outlineLevel="0" collapsed="false">
      <c r="A11" s="5" t="s">
        <v>138</v>
      </c>
      <c r="B11" s="18" t="n">
        <f aca="false">SUMIFS(Receita_Comissoes!$J:$J,Receita_Comissoes!$A:$A,"&gt;="&amp;Parametros!$B$7,Receita_Comissoes!$A:$A,"&lt;="&amp;Parametros!$B$8)</f>
        <v>72000</v>
      </c>
      <c r="C11" s="5"/>
    </row>
    <row r="12" customFormat="false" ht="15" hidden="false" customHeight="false" outlineLevel="0" collapsed="false">
      <c r="A12" s="5" t="s">
        <v>139</v>
      </c>
      <c r="B12" s="18" t="n">
        <f aca="false">SUMIFS(Comissoes_Recebidas!$D:$D,Comissoes_Recebidas!$A:$A,"&gt;="&amp;Parametros!$B$7,Comissoes_Recebidas!$A:$A,"&lt;="&amp;Parametros!$B$8)</f>
        <v>0</v>
      </c>
      <c r="C12" s="5"/>
    </row>
    <row r="13" customFormat="false" ht="15" hidden="false" customHeight="false" outlineLevel="0" collapsed="false">
      <c r="A13" s="5" t="s">
        <v>140</v>
      </c>
      <c r="B13" s="18" t="n">
        <f aca="false">B11+B12</f>
        <v>72000</v>
      </c>
      <c r="C13" s="5"/>
    </row>
    <row r="14" customFormat="false" ht="15" hidden="false" customHeight="false" outlineLevel="0" collapsed="false">
      <c r="A14" s="5" t="s">
        <v>141</v>
      </c>
      <c r="B14" s="18" t="n">
        <f aca="false">B13*Parametros!$B$6</f>
        <v>72000</v>
      </c>
      <c r="C14" s="5"/>
    </row>
    <row r="15" customFormat="false" ht="15" hidden="false" customHeight="false" outlineLevel="0" collapsed="false">
      <c r="A15" s="32" t="s">
        <v>142</v>
      </c>
      <c r="B15" s="34" t="n">
        <f aca="false">IF(B10=0,"",(B14-B10)/B10)</f>
        <v>15.6736842105263</v>
      </c>
      <c r="C15" s="5" t="s">
        <v>143</v>
      </c>
    </row>
    <row r="16" customFormat="false" ht="15" hidden="false" customHeight="false" outlineLevel="0" collapsed="false">
      <c r="A16" s="32" t="s">
        <v>144</v>
      </c>
      <c r="B16" s="35" t="n">
        <f aca="false">COUNTIFS(Receita_Comissoes!$A:$A,"&gt;="&amp;Parametros!$B$7,Receita_Comissoes!$A:$A,"&lt;="&amp;Parametros!$B$8,Receita_Comissoes!$E:$E,"Sim")</f>
        <v>1</v>
      </c>
      <c r="C16" s="5" t="s">
        <v>145</v>
      </c>
    </row>
    <row r="17" customFormat="false" ht="15" hidden="false" customHeight="false" outlineLevel="0" collapsed="false">
      <c r="A17" s="5" t="s">
        <v>146</v>
      </c>
      <c r="B17" s="18" t="n">
        <f aca="false">IF(B16=0,"",B10/B16)</f>
        <v>4318.18181818182</v>
      </c>
      <c r="C17" s="5"/>
    </row>
    <row r="18" customFormat="false" ht="15" hidden="false" customHeight="false" outlineLevel="0" collapsed="false">
      <c r="A18" s="5" t="s">
        <v>147</v>
      </c>
      <c r="B18" s="18" t="n">
        <f aca="false">SUMIFS(Receita_Comissoes!$M:$M,Receita_Comissoes!$A:$A,"&gt;="&amp;Parametros!$B$7,Receita_Comissoes!$A:$A,"&lt;="&amp;Parametros!$B$8)</f>
        <v>6000</v>
      </c>
      <c r="C18" s="5"/>
    </row>
    <row r="19" customFormat="false" ht="15" hidden="false" customHeight="false" outlineLevel="0" collapsed="false">
      <c r="A19" s="5" t="s">
        <v>148</v>
      </c>
      <c r="B19" s="31" t="n">
        <f aca="false">IF(B18*Parametros!$B$6=0,"",B10/(B18*Parametros!$B$6))</f>
        <v>0.71969696969697</v>
      </c>
      <c r="C19" s="5" t="s">
        <v>149</v>
      </c>
    </row>
    <row r="20" customFormat="false" ht="15" hidden="false" customHeight="false" outlineLevel="0" collapsed="false">
      <c r="A20" s="10" t="s">
        <v>150</v>
      </c>
    </row>
    <row r="21" customFormat="false" ht="26.85" hidden="false" customHeight="false" outlineLevel="0" collapsed="false">
      <c r="A21" s="36" t="s">
        <v>96</v>
      </c>
      <c r="B21" s="36" t="s">
        <v>151</v>
      </c>
      <c r="C21" s="36" t="s">
        <v>152</v>
      </c>
      <c r="D21" s="36" t="s">
        <v>153</v>
      </c>
      <c r="E21" s="36" t="s">
        <v>154</v>
      </c>
      <c r="F21" s="36" t="s">
        <v>155</v>
      </c>
      <c r="G21" s="36" t="s">
        <v>116</v>
      </c>
      <c r="H21" s="36" t="s">
        <v>156</v>
      </c>
      <c r="I21" s="36" t="s">
        <v>142</v>
      </c>
    </row>
    <row r="22" customFormat="false" ht="15" hidden="false" customHeight="false" outlineLevel="0" collapsed="false">
      <c r="A22" s="5" t="s">
        <v>100</v>
      </c>
      <c r="B22" s="31" t="n">
        <f aca="false">SUMIFS(Horas!$E:$E,Horas!$C:$C,$A22,Horas!$A:$A,"&gt;="&amp;Parametros!$B$7,Horas!$A:$A,"&lt;="&amp;Parametros!$B$8)/60</f>
        <v>36</v>
      </c>
      <c r="C22" s="18" t="n">
        <f aca="false">SUMIFS(Horas!$G:$G,Horas!$C:$C,$A22,Horas!$A:$A,"&gt;="&amp;Parametros!$B$7,Horas!$A:$A,"&lt;="&amp;Parametros!$B$8)</f>
        <v>736.363636363636</v>
      </c>
      <c r="D22" s="18" t="n">
        <f aca="false">SUMIFS(Receita_Comissoes!$K:$K,Receita_Comissoes!$B:$B,$A22,Receita_Comissoes!$A:$A,"&gt;="&amp;Parametros!$B$7,Receita_Comissoes!$A:$A,"&lt;="&amp;Parametros!$B$8)+SUMIFS(Receita_Comissoes!$L:$L,Receita_Comissoes!$B:$B,$A22,Receita_Comissoes!$A:$A,"&gt;="&amp;Parametros!$B$7,Receita_Comissoes!$A:$A,"&lt;="&amp;Parametros!$B$8)</f>
        <v>3000</v>
      </c>
      <c r="E22" s="18" t="n">
        <f aca="false">SUMIFS(Custos_Diretos!$E:$E,Custos_Diretos!$C:$C,$A22,Custos_Diretos!$A:$A,"&gt;="&amp;Parametros!$B$7,Custos_Diretos!$A:$A,"&lt;="&amp;Parametros!$B$8)</f>
        <v>500</v>
      </c>
      <c r="F22" s="18" t="n">
        <f aca="false">C22+D22+E22</f>
        <v>4236.36363636364</v>
      </c>
      <c r="G22" s="18" t="n">
        <f aca="false">SUMIFS(Receita_Comissoes!$J:$J,Receita_Comissoes!$B:$B,$A22,Receita_Comissoes!$A:$A,"&gt;="&amp;Parametros!$B$7,Receita_Comissoes!$A:$A,"&lt;="&amp;Parametros!$B$8)+SUMIFS(Comissoes_Recebidas!$D:$D,Comissoes_Recebidas!$B:$B,$A22,Comissoes_Recebidas!$A:$A,"&gt;="&amp;Parametros!$B$7,Comissoes_Recebidas!$A:$A,"&lt;="&amp;Parametros!$B$8)</f>
        <v>72000</v>
      </c>
      <c r="H22" s="37" t="n">
        <f aca="false">COUNTIFS(Receita_Comissoes!$B:$B,$A22,Receita_Comissoes!$E:$E,"Sim",Receita_Comissoes!$A:$A,"&gt;="&amp;Parametros!$B$7,Receita_Comissoes!$A:$A,"&lt;="&amp;Parametros!$B$8)</f>
        <v>1</v>
      </c>
      <c r="I22" s="38" t="n">
        <f aca="false">IF(F22=0,"",(G22*Parametros!$B$6-F22)/F22)</f>
        <v>15.9957081545064</v>
      </c>
    </row>
    <row r="23" customFormat="false" ht="15" hidden="false" customHeight="false" outlineLevel="0" collapsed="false">
      <c r="A23" s="5" t="s">
        <v>157</v>
      </c>
      <c r="B23" s="31" t="n">
        <f aca="false">SUMIFS(Horas!$E:$E,Horas!$C:$C,$A23,Horas!$A:$A,"&gt;="&amp;Parametros!$B$7,Horas!$A:$A,"&lt;="&amp;Parametros!$B$8)/60</f>
        <v>0</v>
      </c>
      <c r="C23" s="18" t="n">
        <f aca="false">SUMIFS(Horas!$G:$G,Horas!$C:$C,$A23,Horas!$A:$A,"&gt;="&amp;Parametros!$B$7,Horas!$A:$A,"&lt;="&amp;Parametros!$B$8)</f>
        <v>0</v>
      </c>
      <c r="D23" s="18" t="n">
        <f aca="false">SUMIFS(Receita_Comissoes!$K:$K,Receita_Comissoes!$B:$B,$A23,Receita_Comissoes!$A:$A,"&gt;="&amp;Parametros!$B$7,Receita_Comissoes!$A:$A,"&lt;="&amp;Parametros!$B$8)+SUMIFS(Receita_Comissoes!$L:$L,Receita_Comissoes!$B:$B,$A23,Receita_Comissoes!$A:$A,"&gt;="&amp;Parametros!$B$7,Receita_Comissoes!$A:$A,"&lt;="&amp;Parametros!$B$8)</f>
        <v>0</v>
      </c>
      <c r="E23" s="18" t="n">
        <f aca="false">SUMIFS(Custos_Diretos!$E:$E,Custos_Diretos!$C:$C,$A23,Custos_Diretos!$A:$A,"&gt;="&amp;Parametros!$B$7,Custos_Diretos!$A:$A,"&lt;="&amp;Parametros!$B$8)</f>
        <v>0</v>
      </c>
      <c r="F23" s="18" t="n">
        <f aca="false">C23+D23+E23</f>
        <v>0</v>
      </c>
      <c r="G23" s="18" t="n">
        <f aca="false">SUMIFS(Receita_Comissoes!$J:$J,Receita_Comissoes!$B:$B,$A23,Receita_Comissoes!$A:$A,"&gt;="&amp;Parametros!$B$7,Receita_Comissoes!$A:$A,"&lt;="&amp;Parametros!$B$8)+SUMIFS(Comissoes_Recebidas!$D:$D,Comissoes_Recebidas!$B:$B,$A23,Comissoes_Recebidas!$A:$A,"&gt;="&amp;Parametros!$B$7,Comissoes_Recebidas!$A:$A,"&lt;="&amp;Parametros!$B$8)</f>
        <v>0</v>
      </c>
      <c r="H23" s="37" t="n">
        <f aca="false">COUNTIFS(Receita_Comissoes!$B:$B,$A23,Receita_Comissoes!$E:$E,"Sim",Receita_Comissoes!$A:$A,"&gt;="&amp;Parametros!$B$7,Receita_Comissoes!$A:$A,"&lt;="&amp;Parametros!$B$8)</f>
        <v>0</v>
      </c>
      <c r="I23" s="38" t="str">
        <f aca="false">IF(F23=0,"",(G23*Parametros!$B$6-F23)/F23)</f>
        <v/>
      </c>
    </row>
    <row r="24" customFormat="false" ht="15" hidden="false" customHeight="false" outlineLevel="0" collapsed="false">
      <c r="A24" s="5" t="s">
        <v>158</v>
      </c>
      <c r="B24" s="31" t="n">
        <f aca="false">SUMIFS(Horas!$E:$E,Horas!$C:$C,$A24,Horas!$A:$A,"&gt;="&amp;Parametros!$B$7,Horas!$A:$A,"&lt;="&amp;Parametros!$B$8)/60</f>
        <v>0</v>
      </c>
      <c r="C24" s="18" t="n">
        <f aca="false">SUMIFS(Horas!$G:$G,Horas!$C:$C,$A24,Horas!$A:$A,"&gt;="&amp;Parametros!$B$7,Horas!$A:$A,"&lt;="&amp;Parametros!$B$8)</f>
        <v>0</v>
      </c>
      <c r="D24" s="18" t="n">
        <f aca="false">SUMIFS(Receita_Comissoes!$K:$K,Receita_Comissoes!$B:$B,$A24,Receita_Comissoes!$A:$A,"&gt;="&amp;Parametros!$B$7,Receita_Comissoes!$A:$A,"&lt;="&amp;Parametros!$B$8)+SUMIFS(Receita_Comissoes!$L:$L,Receita_Comissoes!$B:$B,$A24,Receita_Comissoes!$A:$A,"&gt;="&amp;Parametros!$B$7,Receita_Comissoes!$A:$A,"&lt;="&amp;Parametros!$B$8)</f>
        <v>0</v>
      </c>
      <c r="E24" s="18" t="n">
        <f aca="false">SUMIFS(Custos_Diretos!$E:$E,Custos_Diretos!$C:$C,$A24,Custos_Diretos!$A:$A,"&gt;="&amp;Parametros!$B$7,Custos_Diretos!$A:$A,"&lt;="&amp;Parametros!$B$8)</f>
        <v>0</v>
      </c>
      <c r="F24" s="18" t="n">
        <f aca="false">C24+D24+E24</f>
        <v>0</v>
      </c>
      <c r="G24" s="18" t="n">
        <f aca="false">SUMIFS(Receita_Comissoes!$J:$J,Receita_Comissoes!$B:$B,$A24,Receita_Comissoes!$A:$A,"&gt;="&amp;Parametros!$B$7,Receita_Comissoes!$A:$A,"&lt;="&amp;Parametros!$B$8)+SUMIFS(Comissoes_Recebidas!$D:$D,Comissoes_Recebidas!$B:$B,$A24,Comissoes_Recebidas!$A:$A,"&gt;="&amp;Parametros!$B$7,Comissoes_Recebidas!$A:$A,"&lt;="&amp;Parametros!$B$8)</f>
        <v>0</v>
      </c>
      <c r="H24" s="37" t="n">
        <f aca="false">COUNTIFS(Receita_Comissoes!$B:$B,$A24,Receita_Comissoes!$E:$E,"Sim",Receita_Comissoes!$A:$A,"&gt;="&amp;Parametros!$B$7,Receita_Comissoes!$A:$A,"&lt;="&amp;Parametros!$B$8)</f>
        <v>0</v>
      </c>
      <c r="I24" s="38" t="str">
        <f aca="false">IF(F24=0,"",(G24*Parametros!$B$6-F24)/F24)</f>
        <v/>
      </c>
    </row>
    <row r="25" customFormat="false" ht="15" hidden="false" customHeight="false" outlineLevel="0" collapsed="false">
      <c r="A25" s="5" t="s">
        <v>159</v>
      </c>
      <c r="B25" s="31" t="n">
        <f aca="false">SUMIFS(Horas!$E:$E,Horas!$C:$C,$A25,Horas!$A:$A,"&gt;="&amp;Parametros!$B$7,Horas!$A:$A,"&lt;="&amp;Parametros!$B$8)/60</f>
        <v>0</v>
      </c>
      <c r="C25" s="18" t="n">
        <f aca="false">SUMIFS(Horas!$G:$G,Horas!$C:$C,$A25,Horas!$A:$A,"&gt;="&amp;Parametros!$B$7,Horas!$A:$A,"&lt;="&amp;Parametros!$B$8)</f>
        <v>0</v>
      </c>
      <c r="D25" s="18" t="n">
        <f aca="false">SUMIFS(Receita_Comissoes!$K:$K,Receita_Comissoes!$B:$B,$A25,Receita_Comissoes!$A:$A,"&gt;="&amp;Parametros!$B$7,Receita_Comissoes!$A:$A,"&lt;="&amp;Parametros!$B$8)+SUMIFS(Receita_Comissoes!$L:$L,Receita_Comissoes!$B:$B,$A25,Receita_Comissoes!$A:$A,"&gt;="&amp;Parametros!$B$7,Receita_Comissoes!$A:$A,"&lt;="&amp;Parametros!$B$8)</f>
        <v>0</v>
      </c>
      <c r="E25" s="18" t="n">
        <f aca="false">SUMIFS(Custos_Diretos!$E:$E,Custos_Diretos!$C:$C,$A25,Custos_Diretos!$A:$A,"&gt;="&amp;Parametros!$B$7,Custos_Diretos!$A:$A,"&lt;="&amp;Parametros!$B$8)</f>
        <v>0</v>
      </c>
      <c r="F25" s="18" t="n">
        <f aca="false">C25+D25+E25</f>
        <v>0</v>
      </c>
      <c r="G25" s="18" t="n">
        <f aca="false">SUMIFS(Receita_Comissoes!$J:$J,Receita_Comissoes!$B:$B,$A25,Receita_Comissoes!$A:$A,"&gt;="&amp;Parametros!$B$7,Receita_Comissoes!$A:$A,"&lt;="&amp;Parametros!$B$8)+SUMIFS(Comissoes_Recebidas!$D:$D,Comissoes_Recebidas!$B:$B,$A25,Comissoes_Recebidas!$A:$A,"&gt;="&amp;Parametros!$B$7,Comissoes_Recebidas!$A:$A,"&lt;="&amp;Parametros!$B$8)</f>
        <v>0</v>
      </c>
      <c r="H25" s="37" t="n">
        <f aca="false">COUNTIFS(Receita_Comissoes!$B:$B,$A25,Receita_Comissoes!$E:$E,"Sim",Receita_Comissoes!$A:$A,"&gt;="&amp;Parametros!$B$7,Receita_Comissoes!$A:$A,"&lt;="&amp;Parametros!$B$8)</f>
        <v>0</v>
      </c>
      <c r="I25" s="38" t="str">
        <f aca="false">IF(F25=0,"",(G25*Parametros!$B$6-F25)/F25)</f>
        <v/>
      </c>
    </row>
    <row r="26" customFormat="false" ht="15" hidden="false" customHeight="false" outlineLevel="0" collapsed="false">
      <c r="A26" s="5" t="s">
        <v>160</v>
      </c>
      <c r="B26" s="31" t="n">
        <f aca="false">SUMIFS(Horas!$E:$E,Horas!$C:$C,$A26,Horas!$A:$A,"&gt;="&amp;Parametros!$B$7,Horas!$A:$A,"&lt;="&amp;Parametros!$B$8)/60</f>
        <v>0</v>
      </c>
      <c r="C26" s="18" t="n">
        <f aca="false">SUMIFS(Horas!$G:$G,Horas!$C:$C,$A26,Horas!$A:$A,"&gt;="&amp;Parametros!$B$7,Horas!$A:$A,"&lt;="&amp;Parametros!$B$8)</f>
        <v>0</v>
      </c>
      <c r="D26" s="18" t="n">
        <f aca="false">SUMIFS(Receita_Comissoes!$K:$K,Receita_Comissoes!$B:$B,$A26,Receita_Comissoes!$A:$A,"&gt;="&amp;Parametros!$B$7,Receita_Comissoes!$A:$A,"&lt;="&amp;Parametros!$B$8)+SUMIFS(Receita_Comissoes!$L:$L,Receita_Comissoes!$B:$B,$A26,Receita_Comissoes!$A:$A,"&gt;="&amp;Parametros!$B$7,Receita_Comissoes!$A:$A,"&lt;="&amp;Parametros!$B$8)</f>
        <v>0</v>
      </c>
      <c r="E26" s="18" t="n">
        <f aca="false">SUMIFS(Custos_Diretos!$E:$E,Custos_Diretos!$C:$C,$A26,Custos_Diretos!$A:$A,"&gt;="&amp;Parametros!$B$7,Custos_Diretos!$A:$A,"&lt;="&amp;Parametros!$B$8)</f>
        <v>0</v>
      </c>
      <c r="F26" s="18" t="n">
        <f aca="false">C26+D26+E26</f>
        <v>0</v>
      </c>
      <c r="G26" s="18" t="n">
        <f aca="false">SUMIFS(Receita_Comissoes!$J:$J,Receita_Comissoes!$B:$B,$A26,Receita_Comissoes!$A:$A,"&gt;="&amp;Parametros!$B$7,Receita_Comissoes!$A:$A,"&lt;="&amp;Parametros!$B$8)+SUMIFS(Comissoes_Recebidas!$D:$D,Comissoes_Recebidas!$B:$B,$A26,Comissoes_Recebidas!$A:$A,"&gt;="&amp;Parametros!$B$7,Comissoes_Recebidas!$A:$A,"&lt;="&amp;Parametros!$B$8)</f>
        <v>0</v>
      </c>
      <c r="H26" s="37" t="n">
        <f aca="false">COUNTIFS(Receita_Comissoes!$B:$B,$A26,Receita_Comissoes!$E:$E,"Sim",Receita_Comissoes!$A:$A,"&gt;="&amp;Parametros!$B$7,Receita_Comissoes!$A:$A,"&lt;="&amp;Parametros!$B$8)</f>
        <v>0</v>
      </c>
      <c r="I26" s="38" t="str">
        <f aca="false">IF(F26=0,"",(G26*Parametros!$B$6-F26)/F26)</f>
        <v/>
      </c>
    </row>
    <row r="27" customFormat="false" ht="15" hidden="false" customHeight="false" outlineLevel="0" collapsed="false">
      <c r="A27" s="5" t="s">
        <v>161</v>
      </c>
      <c r="B27" s="31" t="n">
        <f aca="false">SUMIFS(Horas!$E:$E,Horas!$C:$C,$A27,Horas!$A:$A,"&gt;="&amp;Parametros!$B$7,Horas!$A:$A,"&lt;="&amp;Parametros!$B$8)/60</f>
        <v>0</v>
      </c>
      <c r="C27" s="18" t="n">
        <f aca="false">SUMIFS(Horas!$G:$G,Horas!$C:$C,$A27,Horas!$A:$A,"&gt;="&amp;Parametros!$B$7,Horas!$A:$A,"&lt;="&amp;Parametros!$B$8)</f>
        <v>0</v>
      </c>
      <c r="D27" s="18" t="n">
        <f aca="false">SUMIFS(Receita_Comissoes!$K:$K,Receita_Comissoes!$B:$B,$A27,Receita_Comissoes!$A:$A,"&gt;="&amp;Parametros!$B$7,Receita_Comissoes!$A:$A,"&lt;="&amp;Parametros!$B$8)+SUMIFS(Receita_Comissoes!$L:$L,Receita_Comissoes!$B:$B,$A27,Receita_Comissoes!$A:$A,"&gt;="&amp;Parametros!$B$7,Receita_Comissoes!$A:$A,"&lt;="&amp;Parametros!$B$8)</f>
        <v>0</v>
      </c>
      <c r="E27" s="18" t="n">
        <f aca="false">SUMIFS(Custos_Diretos!$E:$E,Custos_Diretos!$C:$C,$A27,Custos_Diretos!$A:$A,"&gt;="&amp;Parametros!$B$7,Custos_Diretos!$A:$A,"&lt;="&amp;Parametros!$B$8)</f>
        <v>0</v>
      </c>
      <c r="F27" s="18" t="n">
        <f aca="false">C27+D27+E27</f>
        <v>0</v>
      </c>
      <c r="G27" s="18" t="n">
        <f aca="false">SUMIFS(Receita_Comissoes!$J:$J,Receita_Comissoes!$B:$B,$A27,Receita_Comissoes!$A:$A,"&gt;="&amp;Parametros!$B$7,Receita_Comissoes!$A:$A,"&lt;="&amp;Parametros!$B$8)+SUMIFS(Comissoes_Recebidas!$D:$D,Comissoes_Recebidas!$B:$B,$A27,Comissoes_Recebidas!$A:$A,"&gt;="&amp;Parametros!$B$7,Comissoes_Recebidas!$A:$A,"&lt;="&amp;Parametros!$B$8)</f>
        <v>0</v>
      </c>
      <c r="H27" s="37" t="n">
        <f aca="false">COUNTIFS(Receita_Comissoes!$B:$B,$A27,Receita_Comissoes!$E:$E,"Sim",Receita_Comissoes!$A:$A,"&gt;="&amp;Parametros!$B$7,Receita_Comissoes!$A:$A,"&lt;="&amp;Parametros!$B$8)</f>
        <v>0</v>
      </c>
      <c r="I27" s="38" t="str">
        <f aca="false">IF(F27=0,"",(G27*Parametros!$B$6-F27)/F27)</f>
        <v/>
      </c>
    </row>
    <row r="28" customFormat="false" ht="15" hidden="false" customHeight="false" outlineLevel="0" collapsed="false">
      <c r="A28" s="5" t="s">
        <v>162</v>
      </c>
      <c r="B28" s="31" t="n">
        <f aca="false">SUMIFS(Horas!$E:$E,Horas!$C:$C,$A28,Horas!$A:$A,"&gt;="&amp;Parametros!$B$7,Horas!$A:$A,"&lt;="&amp;Parametros!$B$8)/60</f>
        <v>0</v>
      </c>
      <c r="C28" s="18" t="n">
        <f aca="false">SUMIFS(Horas!$G:$G,Horas!$C:$C,$A28,Horas!$A:$A,"&gt;="&amp;Parametros!$B$7,Horas!$A:$A,"&lt;="&amp;Parametros!$B$8)</f>
        <v>0</v>
      </c>
      <c r="D28" s="18" t="n">
        <f aca="false">SUMIFS(Receita_Comissoes!$K:$K,Receita_Comissoes!$B:$B,$A28,Receita_Comissoes!$A:$A,"&gt;="&amp;Parametros!$B$7,Receita_Comissoes!$A:$A,"&lt;="&amp;Parametros!$B$8)+SUMIFS(Receita_Comissoes!$L:$L,Receita_Comissoes!$B:$B,$A28,Receita_Comissoes!$A:$A,"&gt;="&amp;Parametros!$B$7,Receita_Comissoes!$A:$A,"&lt;="&amp;Parametros!$B$8)</f>
        <v>0</v>
      </c>
      <c r="E28" s="18" t="n">
        <f aca="false">SUMIFS(Custos_Diretos!$E:$E,Custos_Diretos!$C:$C,$A28,Custos_Diretos!$A:$A,"&gt;="&amp;Parametros!$B$7,Custos_Diretos!$A:$A,"&lt;="&amp;Parametros!$B$8)</f>
        <v>0</v>
      </c>
      <c r="F28" s="18" t="n">
        <f aca="false">C28+D28+E28</f>
        <v>0</v>
      </c>
      <c r="G28" s="18" t="n">
        <f aca="false">SUMIFS(Receita_Comissoes!$J:$J,Receita_Comissoes!$B:$B,$A28,Receita_Comissoes!$A:$A,"&gt;="&amp;Parametros!$B$7,Receita_Comissoes!$A:$A,"&lt;="&amp;Parametros!$B$8)+SUMIFS(Comissoes_Recebidas!$D:$D,Comissoes_Recebidas!$B:$B,$A28,Comissoes_Recebidas!$A:$A,"&gt;="&amp;Parametros!$B$7,Comissoes_Recebidas!$A:$A,"&lt;="&amp;Parametros!$B$8)</f>
        <v>0</v>
      </c>
      <c r="H28" s="37" t="n">
        <f aca="false">COUNTIFS(Receita_Comissoes!$B:$B,$A28,Receita_Comissoes!$E:$E,"Sim",Receita_Comissoes!$A:$A,"&gt;="&amp;Parametros!$B$7,Receita_Comissoes!$A:$A,"&lt;="&amp;Parametros!$B$8)</f>
        <v>0</v>
      </c>
      <c r="I28" s="38" t="str">
        <f aca="false">IF(F28=0,"",(G28*Parametros!$B$6-F28)/F28)</f>
        <v/>
      </c>
    </row>
    <row r="29" customFormat="false" ht="15" hidden="false" customHeight="false" outlineLevel="0" collapsed="false">
      <c r="A29" s="5" t="s">
        <v>163</v>
      </c>
      <c r="B29" s="31" t="n">
        <f aca="false">SUMIFS(Horas!$E:$E,Horas!$C:$C,$A29,Horas!$A:$A,"&gt;="&amp;Parametros!$B$7,Horas!$A:$A,"&lt;="&amp;Parametros!$B$8)/60</f>
        <v>0</v>
      </c>
      <c r="C29" s="18" t="n">
        <f aca="false">SUMIFS(Horas!$G:$G,Horas!$C:$C,$A29,Horas!$A:$A,"&gt;="&amp;Parametros!$B$7,Horas!$A:$A,"&lt;="&amp;Parametros!$B$8)</f>
        <v>0</v>
      </c>
      <c r="D29" s="18" t="n">
        <f aca="false">SUMIFS(Receita_Comissoes!$K:$K,Receita_Comissoes!$B:$B,$A29,Receita_Comissoes!$A:$A,"&gt;="&amp;Parametros!$B$7,Receita_Comissoes!$A:$A,"&lt;="&amp;Parametros!$B$8)+SUMIFS(Receita_Comissoes!$L:$L,Receita_Comissoes!$B:$B,$A29,Receita_Comissoes!$A:$A,"&gt;="&amp;Parametros!$B$7,Receita_Comissoes!$A:$A,"&lt;="&amp;Parametros!$B$8)</f>
        <v>0</v>
      </c>
      <c r="E29" s="18" t="n">
        <f aca="false">SUMIFS(Custos_Diretos!$E:$E,Custos_Diretos!$C:$C,$A29,Custos_Diretos!$A:$A,"&gt;="&amp;Parametros!$B$7,Custos_Diretos!$A:$A,"&lt;="&amp;Parametros!$B$8)</f>
        <v>0</v>
      </c>
      <c r="F29" s="18" t="n">
        <f aca="false">C29+D29+E29</f>
        <v>0</v>
      </c>
      <c r="G29" s="18" t="n">
        <f aca="false">SUMIFS(Receita_Comissoes!$J:$J,Receita_Comissoes!$B:$B,$A29,Receita_Comissoes!$A:$A,"&gt;="&amp;Parametros!$B$7,Receita_Comissoes!$A:$A,"&lt;="&amp;Parametros!$B$8)+SUMIFS(Comissoes_Recebidas!$D:$D,Comissoes_Recebidas!$B:$B,$A29,Comissoes_Recebidas!$A:$A,"&gt;="&amp;Parametros!$B$7,Comissoes_Recebidas!$A:$A,"&lt;="&amp;Parametros!$B$8)</f>
        <v>0</v>
      </c>
      <c r="H29" s="37" t="n">
        <f aca="false">COUNTIFS(Receita_Comissoes!$B:$B,$A29,Receita_Comissoes!$E:$E,"Sim",Receita_Comissoes!$A:$A,"&gt;="&amp;Parametros!$B$7,Receita_Comissoes!$A:$A,"&lt;="&amp;Parametros!$B$8)</f>
        <v>0</v>
      </c>
      <c r="I29" s="38" t="str">
        <f aca="false">IF(F29=0,"",(G29*Parametros!$B$6-F29)/F29)</f>
        <v/>
      </c>
    </row>
    <row r="30" customFormat="false" ht="15" hidden="false" customHeight="false" outlineLevel="0" collapsed="false">
      <c r="A30" s="5" t="s">
        <v>164</v>
      </c>
      <c r="B30" s="31" t="n">
        <f aca="false">SUMIFS(Horas!$E:$E,Horas!$C:$C,$A30,Horas!$A:$A,"&gt;="&amp;Parametros!$B$7,Horas!$A:$A,"&lt;="&amp;Parametros!$B$8)/60</f>
        <v>0</v>
      </c>
      <c r="C30" s="18" t="n">
        <f aca="false">SUMIFS(Horas!$G:$G,Horas!$C:$C,$A30,Horas!$A:$A,"&gt;="&amp;Parametros!$B$7,Horas!$A:$A,"&lt;="&amp;Parametros!$B$8)</f>
        <v>0</v>
      </c>
      <c r="D30" s="18" t="n">
        <f aca="false">SUMIFS(Receita_Comissoes!$K:$K,Receita_Comissoes!$B:$B,$A30,Receita_Comissoes!$A:$A,"&gt;="&amp;Parametros!$B$7,Receita_Comissoes!$A:$A,"&lt;="&amp;Parametros!$B$8)+SUMIFS(Receita_Comissoes!$L:$L,Receita_Comissoes!$B:$B,$A30,Receita_Comissoes!$A:$A,"&gt;="&amp;Parametros!$B$7,Receita_Comissoes!$A:$A,"&lt;="&amp;Parametros!$B$8)</f>
        <v>0</v>
      </c>
      <c r="E30" s="18" t="n">
        <f aca="false">SUMIFS(Custos_Diretos!$E:$E,Custos_Diretos!$C:$C,$A30,Custos_Diretos!$A:$A,"&gt;="&amp;Parametros!$B$7,Custos_Diretos!$A:$A,"&lt;="&amp;Parametros!$B$8)</f>
        <v>0</v>
      </c>
      <c r="F30" s="18" t="n">
        <f aca="false">C30+D30+E30</f>
        <v>0</v>
      </c>
      <c r="G30" s="18" t="n">
        <f aca="false">SUMIFS(Receita_Comissoes!$J:$J,Receita_Comissoes!$B:$B,$A30,Receita_Comissoes!$A:$A,"&gt;="&amp;Parametros!$B$7,Receita_Comissoes!$A:$A,"&lt;="&amp;Parametros!$B$8)+SUMIFS(Comissoes_Recebidas!$D:$D,Comissoes_Recebidas!$B:$B,$A30,Comissoes_Recebidas!$A:$A,"&gt;="&amp;Parametros!$B$7,Comissoes_Recebidas!$A:$A,"&lt;="&amp;Parametros!$B$8)</f>
        <v>0</v>
      </c>
      <c r="H30" s="37" t="n">
        <f aca="false">COUNTIFS(Receita_Comissoes!$B:$B,$A30,Receita_Comissoes!$E:$E,"Sim",Receita_Comissoes!$A:$A,"&gt;="&amp;Parametros!$B$7,Receita_Comissoes!$A:$A,"&lt;="&amp;Parametros!$B$8)</f>
        <v>0</v>
      </c>
      <c r="I30" s="38" t="str">
        <f aca="false">IF(F30=0,"",(G30*Parametros!$B$6-F30)/F30)</f>
        <v/>
      </c>
    </row>
    <row r="31" customFormat="false" ht="15" hidden="false" customHeight="false" outlineLevel="0" collapsed="false">
      <c r="A31" s="5" t="s">
        <v>165</v>
      </c>
      <c r="B31" s="31" t="n">
        <f aca="false">SUMIFS(Horas!$E:$E,Horas!$C:$C,$A31,Horas!$A:$A,"&gt;="&amp;Parametros!$B$7,Horas!$A:$A,"&lt;="&amp;Parametros!$B$8)/60</f>
        <v>0</v>
      </c>
      <c r="C31" s="18" t="n">
        <f aca="false">SUMIFS(Horas!$G:$G,Horas!$C:$C,$A31,Horas!$A:$A,"&gt;="&amp;Parametros!$B$7,Horas!$A:$A,"&lt;="&amp;Parametros!$B$8)</f>
        <v>0</v>
      </c>
      <c r="D31" s="18" t="n">
        <f aca="false">SUMIFS(Receita_Comissoes!$K:$K,Receita_Comissoes!$B:$B,$A31,Receita_Comissoes!$A:$A,"&gt;="&amp;Parametros!$B$7,Receita_Comissoes!$A:$A,"&lt;="&amp;Parametros!$B$8)+SUMIFS(Receita_Comissoes!$L:$L,Receita_Comissoes!$B:$B,$A31,Receita_Comissoes!$A:$A,"&gt;="&amp;Parametros!$B$7,Receita_Comissoes!$A:$A,"&lt;="&amp;Parametros!$B$8)</f>
        <v>0</v>
      </c>
      <c r="E31" s="18" t="n">
        <f aca="false">SUMIFS(Custos_Diretos!$E:$E,Custos_Diretos!$C:$C,$A31,Custos_Diretos!$A:$A,"&gt;="&amp;Parametros!$B$7,Custos_Diretos!$A:$A,"&lt;="&amp;Parametros!$B$8)</f>
        <v>0</v>
      </c>
      <c r="F31" s="18" t="n">
        <f aca="false">C31+D31+E31</f>
        <v>0</v>
      </c>
      <c r="G31" s="18" t="n">
        <f aca="false">SUMIFS(Receita_Comissoes!$J:$J,Receita_Comissoes!$B:$B,$A31,Receita_Comissoes!$A:$A,"&gt;="&amp;Parametros!$B$7,Receita_Comissoes!$A:$A,"&lt;="&amp;Parametros!$B$8)+SUMIFS(Comissoes_Recebidas!$D:$D,Comissoes_Recebidas!$B:$B,$A31,Comissoes_Recebidas!$A:$A,"&gt;="&amp;Parametros!$B$7,Comissoes_Recebidas!$A:$A,"&lt;="&amp;Parametros!$B$8)</f>
        <v>0</v>
      </c>
      <c r="H31" s="37" t="n">
        <f aca="false">COUNTIFS(Receita_Comissoes!$B:$B,$A31,Receita_Comissoes!$E:$E,"Sim",Receita_Comissoes!$A:$A,"&gt;="&amp;Parametros!$B$7,Receita_Comissoes!$A:$A,"&lt;="&amp;Parametros!$B$8)</f>
        <v>0</v>
      </c>
      <c r="I31" s="38" t="str">
        <f aca="false">IF(F31=0,"",(G31*Parametros!$B$6-F31)/F31)</f>
        <v/>
      </c>
    </row>
    <row r="32" customFormat="false" ht="15" hidden="false" customHeight="false" outlineLevel="0" collapsed="false">
      <c r="A32" s="5" t="s">
        <v>166</v>
      </c>
      <c r="B32" s="31" t="n">
        <f aca="false">SUMIFS(Horas!$E:$E,Horas!$C:$C,$A32,Horas!$A:$A,"&gt;="&amp;Parametros!$B$7,Horas!$A:$A,"&lt;="&amp;Parametros!$B$8)/60</f>
        <v>0</v>
      </c>
      <c r="C32" s="18" t="n">
        <f aca="false">SUMIFS(Horas!$G:$G,Horas!$C:$C,$A32,Horas!$A:$A,"&gt;="&amp;Parametros!$B$7,Horas!$A:$A,"&lt;="&amp;Parametros!$B$8)</f>
        <v>0</v>
      </c>
      <c r="D32" s="18" t="n">
        <f aca="false">SUMIFS(Receita_Comissoes!$K:$K,Receita_Comissoes!$B:$B,$A32,Receita_Comissoes!$A:$A,"&gt;="&amp;Parametros!$B$7,Receita_Comissoes!$A:$A,"&lt;="&amp;Parametros!$B$8)+SUMIFS(Receita_Comissoes!$L:$L,Receita_Comissoes!$B:$B,$A32,Receita_Comissoes!$A:$A,"&gt;="&amp;Parametros!$B$7,Receita_Comissoes!$A:$A,"&lt;="&amp;Parametros!$B$8)</f>
        <v>0</v>
      </c>
      <c r="E32" s="18" t="n">
        <f aca="false">SUMIFS(Custos_Diretos!$E:$E,Custos_Diretos!$C:$C,$A32,Custos_Diretos!$A:$A,"&gt;="&amp;Parametros!$B$7,Custos_Diretos!$A:$A,"&lt;="&amp;Parametros!$B$8)</f>
        <v>0</v>
      </c>
      <c r="F32" s="18" t="n">
        <f aca="false">C32+D32+E32</f>
        <v>0</v>
      </c>
      <c r="G32" s="18" t="n">
        <f aca="false">SUMIFS(Receita_Comissoes!$J:$J,Receita_Comissoes!$B:$B,$A32,Receita_Comissoes!$A:$A,"&gt;="&amp;Parametros!$B$7,Receita_Comissoes!$A:$A,"&lt;="&amp;Parametros!$B$8)+SUMIFS(Comissoes_Recebidas!$D:$D,Comissoes_Recebidas!$B:$B,$A32,Comissoes_Recebidas!$A:$A,"&gt;="&amp;Parametros!$B$7,Comissoes_Recebidas!$A:$A,"&lt;="&amp;Parametros!$B$8)</f>
        <v>0</v>
      </c>
      <c r="H32" s="37" t="n">
        <f aca="false">COUNTIFS(Receita_Comissoes!$B:$B,$A32,Receita_Comissoes!$E:$E,"Sim",Receita_Comissoes!$A:$A,"&gt;="&amp;Parametros!$B$7,Receita_Comissoes!$A:$A,"&lt;="&amp;Parametros!$B$8)</f>
        <v>0</v>
      </c>
      <c r="I32" s="38" t="str">
        <f aca="false">IF(F32=0,"",(G32*Parametros!$B$6-F32)/F32)</f>
        <v/>
      </c>
    </row>
    <row r="33" customFormat="false" ht="15" hidden="false" customHeight="false" outlineLevel="0" collapsed="false">
      <c r="A33" s="5" t="s">
        <v>167</v>
      </c>
      <c r="B33" s="31" t="n">
        <f aca="false">SUMIFS(Horas!$E:$E,Horas!$C:$C,$A33,Horas!$A:$A,"&gt;="&amp;Parametros!$B$7,Horas!$A:$A,"&lt;="&amp;Parametros!$B$8)/60</f>
        <v>0</v>
      </c>
      <c r="C33" s="18" t="n">
        <f aca="false">SUMIFS(Horas!$G:$G,Horas!$C:$C,$A33,Horas!$A:$A,"&gt;="&amp;Parametros!$B$7,Horas!$A:$A,"&lt;="&amp;Parametros!$B$8)</f>
        <v>0</v>
      </c>
      <c r="D33" s="18" t="n">
        <f aca="false">SUMIFS(Receita_Comissoes!$K:$K,Receita_Comissoes!$B:$B,$A33,Receita_Comissoes!$A:$A,"&gt;="&amp;Parametros!$B$7,Receita_Comissoes!$A:$A,"&lt;="&amp;Parametros!$B$8)+SUMIFS(Receita_Comissoes!$L:$L,Receita_Comissoes!$B:$B,$A33,Receita_Comissoes!$A:$A,"&gt;="&amp;Parametros!$B$7,Receita_Comissoes!$A:$A,"&lt;="&amp;Parametros!$B$8)</f>
        <v>0</v>
      </c>
      <c r="E33" s="18" t="n">
        <f aca="false">SUMIFS(Custos_Diretos!$E:$E,Custos_Diretos!$C:$C,$A33,Custos_Diretos!$A:$A,"&gt;="&amp;Parametros!$B$7,Custos_Diretos!$A:$A,"&lt;="&amp;Parametros!$B$8)</f>
        <v>0</v>
      </c>
      <c r="F33" s="18" t="n">
        <f aca="false">C33+D33+E33</f>
        <v>0</v>
      </c>
      <c r="G33" s="18" t="n">
        <f aca="false">SUMIFS(Receita_Comissoes!$J:$J,Receita_Comissoes!$B:$B,$A33,Receita_Comissoes!$A:$A,"&gt;="&amp;Parametros!$B$7,Receita_Comissoes!$A:$A,"&lt;="&amp;Parametros!$B$8)+SUMIFS(Comissoes_Recebidas!$D:$D,Comissoes_Recebidas!$B:$B,$A33,Comissoes_Recebidas!$A:$A,"&gt;="&amp;Parametros!$B$7,Comissoes_Recebidas!$A:$A,"&lt;="&amp;Parametros!$B$8)</f>
        <v>0</v>
      </c>
      <c r="H33" s="37" t="n">
        <f aca="false">COUNTIFS(Receita_Comissoes!$B:$B,$A33,Receita_Comissoes!$E:$E,"Sim",Receita_Comissoes!$A:$A,"&gt;="&amp;Parametros!$B$7,Receita_Comissoes!$A:$A,"&lt;="&amp;Parametros!$B$8)</f>
        <v>0</v>
      </c>
      <c r="I33" s="38" t="str">
        <f aca="false">IF(F33=0,"",(G33*Parametros!$B$6-F33)/F33)</f>
        <v/>
      </c>
    </row>
    <row r="34" customFormat="false" ht="15" hidden="false" customHeight="false" outlineLevel="0" collapsed="false">
      <c r="A34" s="5" t="s">
        <v>168</v>
      </c>
      <c r="B34" s="31" t="n">
        <f aca="false">SUMIFS(Horas!$E:$E,Horas!$C:$C,$A34,Horas!$A:$A,"&gt;="&amp;Parametros!$B$7,Horas!$A:$A,"&lt;="&amp;Parametros!$B$8)/60</f>
        <v>0</v>
      </c>
      <c r="C34" s="18" t="n">
        <f aca="false">SUMIFS(Horas!$G:$G,Horas!$C:$C,$A34,Horas!$A:$A,"&gt;="&amp;Parametros!$B$7,Horas!$A:$A,"&lt;="&amp;Parametros!$B$8)</f>
        <v>0</v>
      </c>
      <c r="D34" s="18" t="n">
        <f aca="false">SUMIFS(Receita_Comissoes!$K:$K,Receita_Comissoes!$B:$B,$A34,Receita_Comissoes!$A:$A,"&gt;="&amp;Parametros!$B$7,Receita_Comissoes!$A:$A,"&lt;="&amp;Parametros!$B$8)+SUMIFS(Receita_Comissoes!$L:$L,Receita_Comissoes!$B:$B,$A34,Receita_Comissoes!$A:$A,"&gt;="&amp;Parametros!$B$7,Receita_Comissoes!$A:$A,"&lt;="&amp;Parametros!$B$8)</f>
        <v>0</v>
      </c>
      <c r="E34" s="18" t="n">
        <f aca="false">SUMIFS(Custos_Diretos!$E:$E,Custos_Diretos!$C:$C,$A34,Custos_Diretos!$A:$A,"&gt;="&amp;Parametros!$B$7,Custos_Diretos!$A:$A,"&lt;="&amp;Parametros!$B$8)</f>
        <v>0</v>
      </c>
      <c r="F34" s="18" t="n">
        <f aca="false">C34+D34+E34</f>
        <v>0</v>
      </c>
      <c r="G34" s="18" t="n">
        <f aca="false">SUMIFS(Receita_Comissoes!$J:$J,Receita_Comissoes!$B:$B,$A34,Receita_Comissoes!$A:$A,"&gt;="&amp;Parametros!$B$7,Receita_Comissoes!$A:$A,"&lt;="&amp;Parametros!$B$8)+SUMIFS(Comissoes_Recebidas!$D:$D,Comissoes_Recebidas!$B:$B,$A34,Comissoes_Recebidas!$A:$A,"&gt;="&amp;Parametros!$B$7,Comissoes_Recebidas!$A:$A,"&lt;="&amp;Parametros!$B$8)</f>
        <v>0</v>
      </c>
      <c r="H34" s="37" t="n">
        <f aca="false">COUNTIFS(Receita_Comissoes!$B:$B,$A34,Receita_Comissoes!$E:$E,"Sim",Receita_Comissoes!$A:$A,"&gt;="&amp;Parametros!$B$7,Receita_Comissoes!$A:$A,"&lt;="&amp;Parametros!$B$8)</f>
        <v>0</v>
      </c>
      <c r="I34" s="38" t="str">
        <f aca="false">IF(F34=0,"",(G34*Parametros!$B$6-F34)/F34)</f>
        <v/>
      </c>
    </row>
    <row r="35" customFormat="false" ht="15" hidden="false" customHeight="false" outlineLevel="0" collapsed="false">
      <c r="A35" s="5" t="s">
        <v>169</v>
      </c>
      <c r="B35" s="31" t="n">
        <f aca="false">SUMIFS(Horas!$E:$E,Horas!$C:$C,$A35,Horas!$A:$A,"&gt;="&amp;Parametros!$B$7,Horas!$A:$A,"&lt;="&amp;Parametros!$B$8)/60</f>
        <v>0</v>
      </c>
      <c r="C35" s="18" t="n">
        <f aca="false">SUMIFS(Horas!$G:$G,Horas!$C:$C,$A35,Horas!$A:$A,"&gt;="&amp;Parametros!$B$7,Horas!$A:$A,"&lt;="&amp;Parametros!$B$8)</f>
        <v>0</v>
      </c>
      <c r="D35" s="18" t="n">
        <f aca="false">SUMIFS(Receita_Comissoes!$K:$K,Receita_Comissoes!$B:$B,$A35,Receita_Comissoes!$A:$A,"&gt;="&amp;Parametros!$B$7,Receita_Comissoes!$A:$A,"&lt;="&amp;Parametros!$B$8)+SUMIFS(Receita_Comissoes!$L:$L,Receita_Comissoes!$B:$B,$A35,Receita_Comissoes!$A:$A,"&gt;="&amp;Parametros!$B$7,Receita_Comissoes!$A:$A,"&lt;="&amp;Parametros!$B$8)</f>
        <v>0</v>
      </c>
      <c r="E35" s="18" t="n">
        <f aca="false">SUMIFS(Custos_Diretos!$E:$E,Custos_Diretos!$C:$C,$A35,Custos_Diretos!$A:$A,"&gt;="&amp;Parametros!$B$7,Custos_Diretos!$A:$A,"&lt;="&amp;Parametros!$B$8)</f>
        <v>0</v>
      </c>
      <c r="F35" s="18" t="n">
        <f aca="false">C35+D35+E35</f>
        <v>0</v>
      </c>
      <c r="G35" s="18" t="n">
        <f aca="false">SUMIFS(Receita_Comissoes!$J:$J,Receita_Comissoes!$B:$B,$A35,Receita_Comissoes!$A:$A,"&gt;="&amp;Parametros!$B$7,Receita_Comissoes!$A:$A,"&lt;="&amp;Parametros!$B$8)+SUMIFS(Comissoes_Recebidas!$D:$D,Comissoes_Recebidas!$B:$B,$A35,Comissoes_Recebidas!$A:$A,"&gt;="&amp;Parametros!$B$7,Comissoes_Recebidas!$A:$A,"&lt;="&amp;Parametros!$B$8)</f>
        <v>0</v>
      </c>
      <c r="H35" s="37" t="n">
        <f aca="false">COUNTIFS(Receita_Comissoes!$B:$B,$A35,Receita_Comissoes!$E:$E,"Sim",Receita_Comissoes!$A:$A,"&gt;="&amp;Parametros!$B$7,Receita_Comissoes!$A:$A,"&lt;="&amp;Parametros!$B$8)</f>
        <v>0</v>
      </c>
      <c r="I35" s="38" t="str">
        <f aca="false">IF(F35=0,"",(G35*Parametros!$B$6-F35)/F35)</f>
        <v/>
      </c>
    </row>
    <row r="36" customFormat="false" ht="15" hidden="false" customHeight="false" outlineLevel="0" collapsed="false">
      <c r="A36" s="5" t="s">
        <v>170</v>
      </c>
      <c r="B36" s="31" t="n">
        <f aca="false">SUMIFS(Horas!$E:$E,Horas!$C:$C,$A36,Horas!$A:$A,"&gt;="&amp;Parametros!$B$7,Horas!$A:$A,"&lt;="&amp;Parametros!$B$8)/60</f>
        <v>0</v>
      </c>
      <c r="C36" s="18" t="n">
        <f aca="false">SUMIFS(Horas!$G:$G,Horas!$C:$C,$A36,Horas!$A:$A,"&gt;="&amp;Parametros!$B$7,Horas!$A:$A,"&lt;="&amp;Parametros!$B$8)</f>
        <v>0</v>
      </c>
      <c r="D36" s="18" t="n">
        <f aca="false">SUMIFS(Receita_Comissoes!$K:$K,Receita_Comissoes!$B:$B,$A36,Receita_Comissoes!$A:$A,"&gt;="&amp;Parametros!$B$7,Receita_Comissoes!$A:$A,"&lt;="&amp;Parametros!$B$8)+SUMIFS(Receita_Comissoes!$L:$L,Receita_Comissoes!$B:$B,$A36,Receita_Comissoes!$A:$A,"&gt;="&amp;Parametros!$B$7,Receita_Comissoes!$A:$A,"&lt;="&amp;Parametros!$B$8)</f>
        <v>0</v>
      </c>
      <c r="E36" s="18" t="n">
        <f aca="false">SUMIFS(Custos_Diretos!$E:$E,Custos_Diretos!$C:$C,$A36,Custos_Diretos!$A:$A,"&gt;="&amp;Parametros!$B$7,Custos_Diretos!$A:$A,"&lt;="&amp;Parametros!$B$8)</f>
        <v>0</v>
      </c>
      <c r="F36" s="18" t="n">
        <f aca="false">C36+D36+E36</f>
        <v>0</v>
      </c>
      <c r="G36" s="18" t="n">
        <f aca="false">SUMIFS(Receita_Comissoes!$J:$J,Receita_Comissoes!$B:$B,$A36,Receita_Comissoes!$A:$A,"&gt;="&amp;Parametros!$B$7,Receita_Comissoes!$A:$A,"&lt;="&amp;Parametros!$B$8)+SUMIFS(Comissoes_Recebidas!$D:$D,Comissoes_Recebidas!$B:$B,$A36,Comissoes_Recebidas!$A:$A,"&gt;="&amp;Parametros!$B$7,Comissoes_Recebidas!$A:$A,"&lt;="&amp;Parametros!$B$8)</f>
        <v>0</v>
      </c>
      <c r="H36" s="37" t="n">
        <f aca="false">COUNTIFS(Receita_Comissoes!$B:$B,$A36,Receita_Comissoes!$E:$E,"Sim",Receita_Comissoes!$A:$A,"&gt;="&amp;Parametros!$B$7,Receita_Comissoes!$A:$A,"&lt;="&amp;Parametros!$B$8)</f>
        <v>0</v>
      </c>
      <c r="I36" s="38" t="str">
        <f aca="false">IF(F36=0,"",(G36*Parametros!$B$6-F36)/F36)</f>
        <v/>
      </c>
    </row>
    <row r="37" customFormat="false" ht="15" hidden="false" customHeight="false" outlineLevel="0" collapsed="false">
      <c r="A37" s="5" t="s">
        <v>171</v>
      </c>
      <c r="B37" s="31" t="n">
        <f aca="false">SUMIFS(Horas!$E:$E,Horas!$C:$C,$A37,Horas!$A:$A,"&gt;="&amp;Parametros!$B$7,Horas!$A:$A,"&lt;="&amp;Parametros!$B$8)/60</f>
        <v>0</v>
      </c>
      <c r="C37" s="18" t="n">
        <f aca="false">SUMIFS(Horas!$G:$G,Horas!$C:$C,$A37,Horas!$A:$A,"&gt;="&amp;Parametros!$B$7,Horas!$A:$A,"&lt;="&amp;Parametros!$B$8)</f>
        <v>0</v>
      </c>
      <c r="D37" s="18" t="n">
        <f aca="false">SUMIFS(Receita_Comissoes!$K:$K,Receita_Comissoes!$B:$B,$A37,Receita_Comissoes!$A:$A,"&gt;="&amp;Parametros!$B$7,Receita_Comissoes!$A:$A,"&lt;="&amp;Parametros!$B$8)+SUMIFS(Receita_Comissoes!$L:$L,Receita_Comissoes!$B:$B,$A37,Receita_Comissoes!$A:$A,"&gt;="&amp;Parametros!$B$7,Receita_Comissoes!$A:$A,"&lt;="&amp;Parametros!$B$8)</f>
        <v>0</v>
      </c>
      <c r="E37" s="18" t="n">
        <f aca="false">SUMIFS(Custos_Diretos!$E:$E,Custos_Diretos!$C:$C,$A37,Custos_Diretos!$A:$A,"&gt;="&amp;Parametros!$B$7,Custos_Diretos!$A:$A,"&lt;="&amp;Parametros!$B$8)</f>
        <v>0</v>
      </c>
      <c r="F37" s="18" t="n">
        <f aca="false">C37+D37+E37</f>
        <v>0</v>
      </c>
      <c r="G37" s="18" t="n">
        <f aca="false">SUMIFS(Receita_Comissoes!$J:$J,Receita_Comissoes!$B:$B,$A37,Receita_Comissoes!$A:$A,"&gt;="&amp;Parametros!$B$7,Receita_Comissoes!$A:$A,"&lt;="&amp;Parametros!$B$8)+SUMIFS(Comissoes_Recebidas!$D:$D,Comissoes_Recebidas!$B:$B,$A37,Comissoes_Recebidas!$A:$A,"&gt;="&amp;Parametros!$B$7,Comissoes_Recebidas!$A:$A,"&lt;="&amp;Parametros!$B$8)</f>
        <v>0</v>
      </c>
      <c r="H37" s="37" t="n">
        <f aca="false">COUNTIFS(Receita_Comissoes!$B:$B,$A37,Receita_Comissoes!$E:$E,"Sim",Receita_Comissoes!$A:$A,"&gt;="&amp;Parametros!$B$7,Receita_Comissoes!$A:$A,"&lt;="&amp;Parametros!$B$8)</f>
        <v>0</v>
      </c>
      <c r="I37" s="38" t="str">
        <f aca="false">IF(F37=0,"",(G37*Parametros!$B$6-F37)/F37)</f>
        <v/>
      </c>
    </row>
    <row r="38" customFormat="false" ht="15" hidden="false" customHeight="false" outlineLevel="0" collapsed="false">
      <c r="A38" s="5" t="s">
        <v>172</v>
      </c>
      <c r="B38" s="31" t="n">
        <f aca="false">SUMIFS(Horas!$E:$E,Horas!$C:$C,$A38,Horas!$A:$A,"&gt;="&amp;Parametros!$B$7,Horas!$A:$A,"&lt;="&amp;Parametros!$B$8)/60</f>
        <v>0</v>
      </c>
      <c r="C38" s="18" t="n">
        <f aca="false">SUMIFS(Horas!$G:$G,Horas!$C:$C,$A38,Horas!$A:$A,"&gt;="&amp;Parametros!$B$7,Horas!$A:$A,"&lt;="&amp;Parametros!$B$8)</f>
        <v>0</v>
      </c>
      <c r="D38" s="18" t="n">
        <f aca="false">SUMIFS(Receita_Comissoes!$K:$K,Receita_Comissoes!$B:$B,$A38,Receita_Comissoes!$A:$A,"&gt;="&amp;Parametros!$B$7,Receita_Comissoes!$A:$A,"&lt;="&amp;Parametros!$B$8)+SUMIFS(Receita_Comissoes!$L:$L,Receita_Comissoes!$B:$B,$A38,Receita_Comissoes!$A:$A,"&gt;="&amp;Parametros!$B$7,Receita_Comissoes!$A:$A,"&lt;="&amp;Parametros!$B$8)</f>
        <v>0</v>
      </c>
      <c r="E38" s="18" t="n">
        <f aca="false">SUMIFS(Custos_Diretos!$E:$E,Custos_Diretos!$C:$C,$A38,Custos_Diretos!$A:$A,"&gt;="&amp;Parametros!$B$7,Custos_Diretos!$A:$A,"&lt;="&amp;Parametros!$B$8)</f>
        <v>0</v>
      </c>
      <c r="F38" s="18" t="n">
        <f aca="false">C38+D38+E38</f>
        <v>0</v>
      </c>
      <c r="G38" s="18" t="n">
        <f aca="false">SUMIFS(Receita_Comissoes!$J:$J,Receita_Comissoes!$B:$B,$A38,Receita_Comissoes!$A:$A,"&gt;="&amp;Parametros!$B$7,Receita_Comissoes!$A:$A,"&lt;="&amp;Parametros!$B$8)+SUMIFS(Comissoes_Recebidas!$D:$D,Comissoes_Recebidas!$B:$B,$A38,Comissoes_Recebidas!$A:$A,"&gt;="&amp;Parametros!$B$7,Comissoes_Recebidas!$A:$A,"&lt;="&amp;Parametros!$B$8)</f>
        <v>0</v>
      </c>
      <c r="H38" s="37" t="n">
        <f aca="false">COUNTIFS(Receita_Comissoes!$B:$B,$A38,Receita_Comissoes!$E:$E,"Sim",Receita_Comissoes!$A:$A,"&gt;="&amp;Parametros!$B$7,Receita_Comissoes!$A:$A,"&lt;="&amp;Parametros!$B$8)</f>
        <v>0</v>
      </c>
      <c r="I38" s="38" t="str">
        <f aca="false">IF(F38=0,"",(G38*Parametros!$B$6-F38)/F38)</f>
        <v/>
      </c>
    </row>
    <row r="39" customFormat="false" ht="15" hidden="false" customHeight="false" outlineLevel="0" collapsed="false">
      <c r="A39" s="5" t="s">
        <v>173</v>
      </c>
      <c r="B39" s="31" t="n">
        <f aca="false">SUMIFS(Horas!$E:$E,Horas!$C:$C,$A39,Horas!$A:$A,"&gt;="&amp;Parametros!$B$7,Horas!$A:$A,"&lt;="&amp;Parametros!$B$8)/60</f>
        <v>0</v>
      </c>
      <c r="C39" s="18" t="n">
        <f aca="false">SUMIFS(Horas!$G:$G,Horas!$C:$C,$A39,Horas!$A:$A,"&gt;="&amp;Parametros!$B$7,Horas!$A:$A,"&lt;="&amp;Parametros!$B$8)</f>
        <v>0</v>
      </c>
      <c r="D39" s="18" t="n">
        <f aca="false">SUMIFS(Receita_Comissoes!$K:$K,Receita_Comissoes!$B:$B,$A39,Receita_Comissoes!$A:$A,"&gt;="&amp;Parametros!$B$7,Receita_Comissoes!$A:$A,"&lt;="&amp;Parametros!$B$8)+SUMIFS(Receita_Comissoes!$L:$L,Receita_Comissoes!$B:$B,$A39,Receita_Comissoes!$A:$A,"&gt;="&amp;Parametros!$B$7,Receita_Comissoes!$A:$A,"&lt;="&amp;Parametros!$B$8)</f>
        <v>0</v>
      </c>
      <c r="E39" s="18" t="n">
        <f aca="false">SUMIFS(Custos_Diretos!$E:$E,Custos_Diretos!$C:$C,$A39,Custos_Diretos!$A:$A,"&gt;="&amp;Parametros!$B$7,Custos_Diretos!$A:$A,"&lt;="&amp;Parametros!$B$8)</f>
        <v>0</v>
      </c>
      <c r="F39" s="18" t="n">
        <f aca="false">C39+D39+E39</f>
        <v>0</v>
      </c>
      <c r="G39" s="18" t="n">
        <f aca="false">SUMIFS(Receita_Comissoes!$J:$J,Receita_Comissoes!$B:$B,$A39,Receita_Comissoes!$A:$A,"&gt;="&amp;Parametros!$B$7,Receita_Comissoes!$A:$A,"&lt;="&amp;Parametros!$B$8)+SUMIFS(Comissoes_Recebidas!$D:$D,Comissoes_Recebidas!$B:$B,$A39,Comissoes_Recebidas!$A:$A,"&gt;="&amp;Parametros!$B$7,Comissoes_Recebidas!$A:$A,"&lt;="&amp;Parametros!$B$8)</f>
        <v>0</v>
      </c>
      <c r="H39" s="37" t="n">
        <f aca="false">COUNTIFS(Receita_Comissoes!$B:$B,$A39,Receita_Comissoes!$E:$E,"Sim",Receita_Comissoes!$A:$A,"&gt;="&amp;Parametros!$B$7,Receita_Comissoes!$A:$A,"&lt;="&amp;Parametros!$B$8)</f>
        <v>0</v>
      </c>
      <c r="I39" s="38" t="str">
        <f aca="false">IF(F39=0,"",(G39*Parametros!$B$6-F39)/F39)</f>
        <v/>
      </c>
    </row>
    <row r="40" customFormat="false" ht="15" hidden="false" customHeight="false" outlineLevel="0" collapsed="false">
      <c r="A40" s="5" t="s">
        <v>174</v>
      </c>
      <c r="B40" s="31" t="n">
        <f aca="false">SUMIFS(Horas!$E:$E,Horas!$C:$C,$A40,Horas!$A:$A,"&gt;="&amp;Parametros!$B$7,Horas!$A:$A,"&lt;="&amp;Parametros!$B$8)/60</f>
        <v>0</v>
      </c>
      <c r="C40" s="18" t="n">
        <f aca="false">SUMIFS(Horas!$G:$G,Horas!$C:$C,$A40,Horas!$A:$A,"&gt;="&amp;Parametros!$B$7,Horas!$A:$A,"&lt;="&amp;Parametros!$B$8)</f>
        <v>0</v>
      </c>
      <c r="D40" s="18" t="n">
        <f aca="false">SUMIFS(Receita_Comissoes!$K:$K,Receita_Comissoes!$B:$B,$A40,Receita_Comissoes!$A:$A,"&gt;="&amp;Parametros!$B$7,Receita_Comissoes!$A:$A,"&lt;="&amp;Parametros!$B$8)+SUMIFS(Receita_Comissoes!$L:$L,Receita_Comissoes!$B:$B,$A40,Receita_Comissoes!$A:$A,"&gt;="&amp;Parametros!$B$7,Receita_Comissoes!$A:$A,"&lt;="&amp;Parametros!$B$8)</f>
        <v>0</v>
      </c>
      <c r="E40" s="18" t="n">
        <f aca="false">SUMIFS(Custos_Diretos!$E:$E,Custos_Diretos!$C:$C,$A40,Custos_Diretos!$A:$A,"&gt;="&amp;Parametros!$B$7,Custos_Diretos!$A:$A,"&lt;="&amp;Parametros!$B$8)</f>
        <v>0</v>
      </c>
      <c r="F40" s="18" t="n">
        <f aca="false">C40+D40+E40</f>
        <v>0</v>
      </c>
      <c r="G40" s="18" t="n">
        <f aca="false">SUMIFS(Receita_Comissoes!$J:$J,Receita_Comissoes!$B:$B,$A40,Receita_Comissoes!$A:$A,"&gt;="&amp;Parametros!$B$7,Receita_Comissoes!$A:$A,"&lt;="&amp;Parametros!$B$8)+SUMIFS(Comissoes_Recebidas!$D:$D,Comissoes_Recebidas!$B:$B,$A40,Comissoes_Recebidas!$A:$A,"&gt;="&amp;Parametros!$B$7,Comissoes_Recebidas!$A:$A,"&lt;="&amp;Parametros!$B$8)</f>
        <v>0</v>
      </c>
      <c r="H40" s="37" t="n">
        <f aca="false">COUNTIFS(Receita_Comissoes!$B:$B,$A40,Receita_Comissoes!$E:$E,"Sim",Receita_Comissoes!$A:$A,"&gt;="&amp;Parametros!$B$7,Receita_Comissoes!$A:$A,"&lt;="&amp;Parametros!$B$8)</f>
        <v>0</v>
      </c>
      <c r="I40" s="38" t="str">
        <f aca="false">IF(F40=0,"",(G40*Parametros!$B$6-F40)/F40)</f>
        <v/>
      </c>
    </row>
    <row r="41" customFormat="false" ht="15" hidden="false" customHeight="false" outlineLevel="0" collapsed="false">
      <c r="A41" s="5" t="s">
        <v>175</v>
      </c>
      <c r="B41" s="31" t="n">
        <f aca="false">SUMIFS(Horas!$E:$E,Horas!$C:$C,$A41,Horas!$A:$A,"&gt;="&amp;Parametros!$B$7,Horas!$A:$A,"&lt;="&amp;Parametros!$B$8)/60</f>
        <v>0</v>
      </c>
      <c r="C41" s="18" t="n">
        <f aca="false">SUMIFS(Horas!$G:$G,Horas!$C:$C,$A41,Horas!$A:$A,"&gt;="&amp;Parametros!$B$7,Horas!$A:$A,"&lt;="&amp;Parametros!$B$8)</f>
        <v>0</v>
      </c>
      <c r="D41" s="18" t="n">
        <f aca="false">SUMIFS(Receita_Comissoes!$K:$K,Receita_Comissoes!$B:$B,$A41,Receita_Comissoes!$A:$A,"&gt;="&amp;Parametros!$B$7,Receita_Comissoes!$A:$A,"&lt;="&amp;Parametros!$B$8)+SUMIFS(Receita_Comissoes!$L:$L,Receita_Comissoes!$B:$B,$A41,Receita_Comissoes!$A:$A,"&gt;="&amp;Parametros!$B$7,Receita_Comissoes!$A:$A,"&lt;="&amp;Parametros!$B$8)</f>
        <v>0</v>
      </c>
      <c r="E41" s="18" t="n">
        <f aca="false">SUMIFS(Custos_Diretos!$E:$E,Custos_Diretos!$C:$C,$A41,Custos_Diretos!$A:$A,"&gt;="&amp;Parametros!$B$7,Custos_Diretos!$A:$A,"&lt;="&amp;Parametros!$B$8)</f>
        <v>0</v>
      </c>
      <c r="F41" s="18" t="n">
        <f aca="false">C41+D41+E41</f>
        <v>0</v>
      </c>
      <c r="G41" s="18" t="n">
        <f aca="false">SUMIFS(Receita_Comissoes!$J:$J,Receita_Comissoes!$B:$B,$A41,Receita_Comissoes!$A:$A,"&gt;="&amp;Parametros!$B$7,Receita_Comissoes!$A:$A,"&lt;="&amp;Parametros!$B$8)+SUMIFS(Comissoes_Recebidas!$D:$D,Comissoes_Recebidas!$B:$B,$A41,Comissoes_Recebidas!$A:$A,"&gt;="&amp;Parametros!$B$7,Comissoes_Recebidas!$A:$A,"&lt;="&amp;Parametros!$B$8)</f>
        <v>0</v>
      </c>
      <c r="H41" s="37" t="n">
        <f aca="false">COUNTIFS(Receita_Comissoes!$B:$B,$A41,Receita_Comissoes!$E:$E,"Sim",Receita_Comissoes!$A:$A,"&gt;="&amp;Parametros!$B$7,Receita_Comissoes!$A:$A,"&lt;="&amp;Parametros!$B$8)</f>
        <v>0</v>
      </c>
      <c r="I41" s="38" t="str">
        <f aca="false">IF(F41=0,"",(G41*Parametros!$B$6-F41)/F41)</f>
        <v/>
      </c>
    </row>
    <row r="42" customFormat="false" ht="15" hidden="false" customHeight="false" outlineLevel="0" collapsed="false">
      <c r="A42" s="5" t="s">
        <v>176</v>
      </c>
      <c r="B42" s="31" t="n">
        <f aca="false">SUMIFS(Horas!$E:$E,Horas!$C:$C,$A42,Horas!$A:$A,"&gt;="&amp;Parametros!$B$7,Horas!$A:$A,"&lt;="&amp;Parametros!$B$8)/60</f>
        <v>0</v>
      </c>
      <c r="C42" s="18" t="n">
        <f aca="false">SUMIFS(Horas!$G:$G,Horas!$C:$C,$A42,Horas!$A:$A,"&gt;="&amp;Parametros!$B$7,Horas!$A:$A,"&lt;="&amp;Parametros!$B$8)</f>
        <v>0</v>
      </c>
      <c r="D42" s="18" t="n">
        <f aca="false">SUMIFS(Receita_Comissoes!$K:$K,Receita_Comissoes!$B:$B,$A42,Receita_Comissoes!$A:$A,"&gt;="&amp;Parametros!$B$7,Receita_Comissoes!$A:$A,"&lt;="&amp;Parametros!$B$8)+SUMIFS(Receita_Comissoes!$L:$L,Receita_Comissoes!$B:$B,$A42,Receita_Comissoes!$A:$A,"&gt;="&amp;Parametros!$B$7,Receita_Comissoes!$A:$A,"&lt;="&amp;Parametros!$B$8)</f>
        <v>0</v>
      </c>
      <c r="E42" s="18" t="n">
        <f aca="false">SUMIFS(Custos_Diretos!$E:$E,Custos_Diretos!$C:$C,$A42,Custos_Diretos!$A:$A,"&gt;="&amp;Parametros!$B$7,Custos_Diretos!$A:$A,"&lt;="&amp;Parametros!$B$8)</f>
        <v>0</v>
      </c>
      <c r="F42" s="18" t="n">
        <f aca="false">C42+D42+E42</f>
        <v>0</v>
      </c>
      <c r="G42" s="18" t="n">
        <f aca="false">SUMIFS(Receita_Comissoes!$J:$J,Receita_Comissoes!$B:$B,$A42,Receita_Comissoes!$A:$A,"&gt;="&amp;Parametros!$B$7,Receita_Comissoes!$A:$A,"&lt;="&amp;Parametros!$B$8)+SUMIFS(Comissoes_Recebidas!$D:$D,Comissoes_Recebidas!$B:$B,$A42,Comissoes_Recebidas!$A:$A,"&gt;="&amp;Parametros!$B$7,Comissoes_Recebidas!$A:$A,"&lt;="&amp;Parametros!$B$8)</f>
        <v>0</v>
      </c>
      <c r="H42" s="37" t="n">
        <f aca="false">COUNTIFS(Receita_Comissoes!$B:$B,$A42,Receita_Comissoes!$E:$E,"Sim",Receita_Comissoes!$A:$A,"&gt;="&amp;Parametros!$B$7,Receita_Comissoes!$A:$A,"&lt;="&amp;Parametros!$B$8)</f>
        <v>0</v>
      </c>
      <c r="I42" s="38" t="str">
        <f aca="false">IF(F42=0,"",(G42*Parametros!$B$6-F42)/F42)</f>
        <v/>
      </c>
    </row>
    <row r="43" customFormat="false" ht="15" hidden="false" customHeight="false" outlineLevel="0" collapsed="false">
      <c r="A43" s="5" t="s">
        <v>102</v>
      </c>
      <c r="B43" s="31" t="n">
        <f aca="false">SUMIFS(Horas!$E:$E,Horas!$C:$C,$A43,Horas!$A:$A,"&gt;="&amp;Parametros!$B$7,Horas!$A:$A,"&lt;="&amp;Parametros!$B$8)/60</f>
        <v>4</v>
      </c>
      <c r="C43" s="18" t="n">
        <f aca="false">SUMIFS(Horas!$G:$G,Horas!$C:$C,$A43,Horas!$A:$A,"&gt;="&amp;Parametros!$B$7,Horas!$A:$A,"&lt;="&amp;Parametros!$B$8)</f>
        <v>81.8181818181818</v>
      </c>
      <c r="D43" s="18" t="n">
        <f aca="false">SUMIFS(Receita_Comissoes!$K:$K,Receita_Comissoes!$B:$B,$A43,Receita_Comissoes!$A:$A,"&gt;="&amp;Parametros!$B$7,Receita_Comissoes!$A:$A,"&lt;="&amp;Parametros!$B$8)+SUMIFS(Receita_Comissoes!$L:$L,Receita_Comissoes!$B:$B,$A43,Receita_Comissoes!$A:$A,"&gt;="&amp;Parametros!$B$7,Receita_Comissoes!$A:$A,"&lt;="&amp;Parametros!$B$8)</f>
        <v>0</v>
      </c>
      <c r="E43" s="18" t="n">
        <f aca="false">SUMIFS(Custos_Diretos!$E:$E,Custos_Diretos!$C:$C,$A43,Custos_Diretos!$A:$A,"&gt;="&amp;Parametros!$B$7,Custos_Diretos!$A:$A,"&lt;="&amp;Parametros!$B$8)</f>
        <v>0</v>
      </c>
      <c r="F43" s="18" t="n">
        <f aca="false">C43+D43+E43</f>
        <v>81.8181818181818</v>
      </c>
      <c r="G43" s="18" t="n">
        <f aca="false">SUMIFS(Receita_Comissoes!$J:$J,Receita_Comissoes!$B:$B,$A43,Receita_Comissoes!$A:$A,"&gt;="&amp;Parametros!$B$7,Receita_Comissoes!$A:$A,"&lt;="&amp;Parametros!$B$8)+SUMIFS(Comissoes_Recebidas!$D:$D,Comissoes_Recebidas!$B:$B,$A43,Comissoes_Recebidas!$A:$A,"&gt;="&amp;Parametros!$B$7,Comissoes_Recebidas!$A:$A,"&lt;="&amp;Parametros!$B$8)</f>
        <v>0</v>
      </c>
      <c r="H43" s="37" t="n">
        <f aca="false">COUNTIFS(Receita_Comissoes!$B:$B,$A43,Receita_Comissoes!$E:$E,"Sim",Receita_Comissoes!$A:$A,"&gt;="&amp;Parametros!$B$7,Receita_Comissoes!$A:$A,"&lt;="&amp;Parametros!$B$8)</f>
        <v>0</v>
      </c>
      <c r="I43" s="38"/>
    </row>
    <row r="44" customFormat="false" ht="15" hidden="false" customHeight="false" outlineLevel="0" collapsed="false">
      <c r="A44" s="32" t="s">
        <v>177</v>
      </c>
      <c r="B44" s="39" t="n">
        <f aca="false">SUM(B22:B43)</f>
        <v>40</v>
      </c>
      <c r="C44" s="33" t="n">
        <f aca="false">SUM(C22:C43)</f>
        <v>818.181818181818</v>
      </c>
      <c r="D44" s="33" t="n">
        <f aca="false">SUM(D22:D43)</f>
        <v>3000</v>
      </c>
      <c r="E44" s="33" t="n">
        <f aca="false">SUM(E22:E43)</f>
        <v>500</v>
      </c>
      <c r="F44" s="33" t="n">
        <f aca="false">SUM(F22:F43)</f>
        <v>4318.18181818182</v>
      </c>
      <c r="G44" s="33" t="n">
        <f aca="false">SUM(G22:G43)</f>
        <v>72000</v>
      </c>
      <c r="H44" s="35" t="n">
        <f aca="false">SUM(H22:H43)</f>
        <v>1</v>
      </c>
      <c r="I44" s="34" t="n">
        <f aca="false">IF(F44=0,"",(G44*Parametros!$B$6-F44)/F44)</f>
        <v>15.6736842105263</v>
      </c>
    </row>
    <row r="45" customFormat="false" ht="15" hidden="false" customHeight="false" outlineLevel="0" collapsed="false">
      <c r="A45" s="13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2026-10-24T02:40:44Z</dcterms:created>
  <dc:creator>openpyxl</dc:creator>
  <dc:description/>
  <dc:language>en-US</dc:language>
  <cp:lastModifiedBy/>
  <dcterms:modified xsi:type="dcterms:W3CDTF">2026-10-24T02:40:44Z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